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9514a1584cf82/Documentos/"/>
    </mc:Choice>
  </mc:AlternateContent>
  <xr:revisionPtr revIDLastSave="2" documentId="8_{7101B00C-4DE9-47D8-B191-E9E02B2066BC}" xr6:coauthVersionLast="47" xr6:coauthVersionMax="47" xr10:uidLastSave="{351489C8-487F-430D-8967-363663402B9B}"/>
  <bookViews>
    <workbookView xWindow="-108" yWindow="-108" windowWidth="23256" windowHeight="12456" tabRatio="763" xr2:uid="{06B2FC0C-1F90-475C-A7AB-AE401A7FEE76}"/>
  </bookViews>
  <sheets>
    <sheet name="Calculadora" sheetId="11" r:id="rId1"/>
    <sheet name="Lista" sheetId="10" r:id="rId2"/>
    <sheet name="Poisson" sheetId="9" r:id="rId3"/>
    <sheet name="Estadistica" sheetId="6" r:id="rId4"/>
    <sheet name="Goles marcados local" sheetId="5" r:id="rId5"/>
    <sheet name="Goles marcados visitante" sheetId="4" r:id="rId6"/>
    <sheet name="Goles recibidos local" sheetId="7" r:id="rId7"/>
    <sheet name="Goles recibidos visitante" sheetId="8" r:id="rId8"/>
  </sheets>
  <definedNames>
    <definedName name="DatosExternos_1" localSheetId="4" hidden="1">'Goles marcados local'!$A$1:$E$21</definedName>
    <definedName name="DatosExternos_1" localSheetId="5" hidden="1">'Goles marcados visitante'!$A$1:$E$21</definedName>
    <definedName name="DatosExternos_1" localSheetId="6" hidden="1">'Goles recibidos local'!$A$1:$E$21</definedName>
    <definedName name="DatosExternos_1" localSheetId="7" hidden="1">'Goles recibidos visitante'!$A$1:$E$21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L10" i="6" s="1"/>
  <c r="G11" i="6"/>
  <c r="G12" i="6"/>
  <c r="G13" i="6"/>
  <c r="G14" i="6"/>
  <c r="G15" i="6"/>
  <c r="G16" i="6"/>
  <c r="G17" i="6"/>
  <c r="G18" i="6"/>
  <c r="L18" i="6" s="1"/>
  <c r="G19" i="6"/>
  <c r="G20" i="6"/>
  <c r="G21" i="6"/>
  <c r="G22" i="6"/>
  <c r="G3" i="6"/>
  <c r="F4" i="6"/>
  <c r="F5" i="6"/>
  <c r="K5" i="6" s="1"/>
  <c r="F6" i="6"/>
  <c r="K6" i="6" s="1"/>
  <c r="F7" i="6"/>
  <c r="F8" i="6"/>
  <c r="F9" i="6"/>
  <c r="F10" i="6"/>
  <c r="F11" i="6"/>
  <c r="K11" i="6" s="1"/>
  <c r="F12" i="6"/>
  <c r="F13" i="6"/>
  <c r="K13" i="6" s="1"/>
  <c r="F14" i="6"/>
  <c r="F15" i="6"/>
  <c r="F16" i="6"/>
  <c r="F17" i="6"/>
  <c r="F18" i="6"/>
  <c r="F19" i="6"/>
  <c r="K19" i="6" s="1"/>
  <c r="F20" i="6"/>
  <c r="F21" i="6"/>
  <c r="K21" i="6" s="1"/>
  <c r="F22" i="6"/>
  <c r="F3" i="6"/>
  <c r="E4" i="6"/>
  <c r="L4" i="6" s="1"/>
  <c r="E5" i="6"/>
  <c r="E6" i="6"/>
  <c r="L6" i="6" s="1"/>
  <c r="E7" i="6"/>
  <c r="L7" i="6" s="1"/>
  <c r="E8" i="6"/>
  <c r="E9" i="6"/>
  <c r="E10" i="6"/>
  <c r="E11" i="6"/>
  <c r="E12" i="6"/>
  <c r="L12" i="6" s="1"/>
  <c r="E13" i="6"/>
  <c r="L13" i="6" s="1"/>
  <c r="E14" i="6"/>
  <c r="L14" i="6" s="1"/>
  <c r="E15" i="6"/>
  <c r="L15" i="6" s="1"/>
  <c r="E16" i="6"/>
  <c r="L16" i="6" s="1"/>
  <c r="E17" i="6"/>
  <c r="E18" i="6"/>
  <c r="E19" i="6"/>
  <c r="E20" i="6"/>
  <c r="E21" i="6"/>
  <c r="E22" i="6"/>
  <c r="L22" i="6" s="1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C4" i="6"/>
  <c r="C5" i="6"/>
  <c r="C6" i="6"/>
  <c r="I6" i="6" s="1"/>
  <c r="C7" i="6"/>
  <c r="C8" i="6"/>
  <c r="C9" i="6"/>
  <c r="C10" i="6"/>
  <c r="C11" i="6"/>
  <c r="C12" i="6"/>
  <c r="C13" i="6"/>
  <c r="C14" i="6"/>
  <c r="I14" i="6" s="1"/>
  <c r="C15" i="6"/>
  <c r="C16" i="6"/>
  <c r="C17" i="6"/>
  <c r="C18" i="6"/>
  <c r="C19" i="6"/>
  <c r="C20" i="6"/>
  <c r="C21" i="6"/>
  <c r="C22" i="6"/>
  <c r="I22" i="6" s="1"/>
  <c r="C3" i="6"/>
  <c r="B4" i="6"/>
  <c r="J4" i="6" s="1"/>
  <c r="B5" i="6"/>
  <c r="I5" i="6" s="1"/>
  <c r="B6" i="6"/>
  <c r="J6" i="6" s="1"/>
  <c r="B7" i="6"/>
  <c r="J7" i="6" s="1"/>
  <c r="B8" i="6"/>
  <c r="B9" i="6"/>
  <c r="J9" i="6" s="1"/>
  <c r="B10" i="6"/>
  <c r="B11" i="6"/>
  <c r="J11" i="6" s="1"/>
  <c r="B12" i="6"/>
  <c r="B13" i="6"/>
  <c r="J13" i="6" s="1"/>
  <c r="B14" i="6"/>
  <c r="B15" i="6"/>
  <c r="J15" i="6" s="1"/>
  <c r="B16" i="6"/>
  <c r="B17" i="6"/>
  <c r="J17" i="6" s="1"/>
  <c r="B18" i="6"/>
  <c r="B19" i="6"/>
  <c r="J19" i="6" s="1"/>
  <c r="B20" i="6"/>
  <c r="B21" i="6"/>
  <c r="B22" i="6"/>
  <c r="B3" i="6"/>
  <c r="L20" i="6" l="1"/>
  <c r="L5" i="6"/>
  <c r="L21" i="6"/>
  <c r="L17" i="6"/>
  <c r="L9" i="6"/>
  <c r="L3" i="6"/>
  <c r="L11" i="6"/>
  <c r="L19" i="6"/>
  <c r="J22" i="6"/>
  <c r="J14" i="6"/>
  <c r="J12" i="6"/>
  <c r="J10" i="6"/>
  <c r="J16" i="6"/>
  <c r="J3" i="6"/>
  <c r="J21" i="6"/>
  <c r="J20" i="6"/>
  <c r="J18" i="6"/>
  <c r="K9" i="6"/>
  <c r="K16" i="6"/>
  <c r="K17" i="6"/>
  <c r="K3" i="6"/>
  <c r="K15" i="6"/>
  <c r="K7" i="6"/>
  <c r="K22" i="6"/>
  <c r="K14" i="6"/>
  <c r="K20" i="6"/>
  <c r="K12" i="6"/>
  <c r="K4" i="6"/>
  <c r="K18" i="6"/>
  <c r="K10" i="6"/>
  <c r="E23" i="6"/>
  <c r="L8" i="6"/>
  <c r="K8" i="6"/>
  <c r="I3" i="6"/>
  <c r="I15" i="6"/>
  <c r="I7" i="6"/>
  <c r="I18" i="6"/>
  <c r="I10" i="6"/>
  <c r="I17" i="6"/>
  <c r="B4" i="11" s="1"/>
  <c r="I9" i="6"/>
  <c r="I16" i="6"/>
  <c r="I8" i="6"/>
  <c r="I19" i="6"/>
  <c r="J5" i="6"/>
  <c r="I21" i="6"/>
  <c r="I13" i="6"/>
  <c r="I4" i="6"/>
  <c r="I20" i="6"/>
  <c r="I12" i="6"/>
  <c r="I11" i="6"/>
  <c r="B23" i="6"/>
  <c r="J8" i="6"/>
  <c r="C23" i="6"/>
  <c r="I23" i="6" s="1"/>
  <c r="G23" i="6"/>
  <c r="F23" i="6"/>
  <c r="K23" i="6" s="1"/>
  <c r="P5" i="6" s="1"/>
  <c r="D23" i="6"/>
  <c r="J23" i="6" s="1"/>
  <c r="P16" i="6" l="1"/>
  <c r="P9" i="6"/>
  <c r="P4" i="6"/>
  <c r="P12" i="6"/>
  <c r="P6" i="6"/>
  <c r="P10" i="6"/>
  <c r="P20" i="6"/>
  <c r="P15" i="6"/>
  <c r="P21" i="6"/>
  <c r="P18" i="6"/>
  <c r="L23" i="6"/>
  <c r="Q8" i="6" s="1"/>
  <c r="D5" i="11" s="1"/>
  <c r="B6" i="11" s="1"/>
  <c r="P14" i="6"/>
  <c r="P11" i="6"/>
  <c r="P13" i="6"/>
  <c r="P22" i="6"/>
  <c r="P17" i="6"/>
  <c r="D4" i="11"/>
  <c r="P8" i="6"/>
  <c r="P19" i="6"/>
  <c r="P7" i="6"/>
  <c r="P3" i="6"/>
  <c r="N8" i="6"/>
  <c r="O4" i="6"/>
  <c r="O12" i="6"/>
  <c r="O20" i="6"/>
  <c r="O5" i="6"/>
  <c r="O13" i="6"/>
  <c r="O21" i="6"/>
  <c r="O6" i="6"/>
  <c r="O14" i="6"/>
  <c r="O22" i="6"/>
  <c r="O7" i="6"/>
  <c r="O15" i="6"/>
  <c r="O3" i="6"/>
  <c r="O16" i="6"/>
  <c r="O9" i="6"/>
  <c r="O17" i="6"/>
  <c r="B5" i="11" s="1"/>
  <c r="O11" i="6"/>
  <c r="O10" i="6"/>
  <c r="O18" i="6"/>
  <c r="O19" i="6"/>
  <c r="N16" i="6"/>
  <c r="N9" i="6"/>
  <c r="N17" i="6"/>
  <c r="N10" i="6"/>
  <c r="N18" i="6"/>
  <c r="N11" i="6"/>
  <c r="N19" i="6"/>
  <c r="N4" i="6"/>
  <c r="N12" i="6"/>
  <c r="N20" i="6"/>
  <c r="N5" i="6"/>
  <c r="N13" i="6"/>
  <c r="N21" i="6"/>
  <c r="N7" i="6"/>
  <c r="N3" i="6"/>
  <c r="N6" i="6"/>
  <c r="N14" i="6"/>
  <c r="N22" i="6"/>
  <c r="N15" i="6"/>
  <c r="O8" i="6"/>
  <c r="D6" i="11" l="1"/>
  <c r="F3" i="9" s="1"/>
  <c r="E2" i="9"/>
  <c r="I2" i="9"/>
  <c r="J2" i="9"/>
  <c r="F2" i="9"/>
  <c r="G2" i="9"/>
  <c r="H2" i="9"/>
  <c r="Q17" i="6"/>
  <c r="Q9" i="6"/>
  <c r="Q6" i="6"/>
  <c r="Q20" i="6"/>
  <c r="Q19" i="6"/>
  <c r="Q16" i="6"/>
  <c r="Q10" i="6"/>
  <c r="Q13" i="6"/>
  <c r="Q12" i="6"/>
  <c r="Q18" i="6"/>
  <c r="Q3" i="6"/>
  <c r="Q4" i="6"/>
  <c r="Q11" i="6"/>
  <c r="Q7" i="6"/>
  <c r="Q22" i="6"/>
  <c r="Q21" i="6"/>
  <c r="Q14" i="6"/>
  <c r="Q5" i="6"/>
  <c r="Q15" i="6"/>
  <c r="F8" i="9" l="1"/>
  <c r="I12" i="11" s="1"/>
  <c r="J12" i="11" s="1"/>
  <c r="F9" i="9"/>
  <c r="F13" i="11" s="1"/>
  <c r="G13" i="11" s="1"/>
  <c r="H3" i="9"/>
  <c r="E3" i="9"/>
  <c r="E10" i="9" s="1"/>
  <c r="F14" i="11" s="1"/>
  <c r="G14" i="11" s="1"/>
  <c r="G3" i="9"/>
  <c r="G12" i="9" s="1"/>
  <c r="F23" i="11" s="1"/>
  <c r="G23" i="11" s="1"/>
  <c r="F12" i="9"/>
  <c r="F22" i="11" s="1"/>
  <c r="G22" i="11" s="1"/>
  <c r="I3" i="9"/>
  <c r="I9" i="9" s="1"/>
  <c r="L19" i="11" s="1"/>
  <c r="M19" i="11" s="1"/>
  <c r="J3" i="9"/>
  <c r="J11" i="9" s="1"/>
  <c r="L25" i="11" s="1"/>
  <c r="M25" i="11" s="1"/>
  <c r="F11" i="9"/>
  <c r="F18" i="11" s="1"/>
  <c r="G18" i="11" s="1"/>
  <c r="F10" i="9"/>
  <c r="F15" i="11" s="1"/>
  <c r="G15" i="11" s="1"/>
  <c r="H10" i="9"/>
  <c r="I14" i="11" s="1"/>
  <c r="J14" i="11" s="1"/>
  <c r="G11" i="9"/>
  <c r="F19" i="11" s="1"/>
  <c r="G19" i="11" s="1"/>
  <c r="H12" i="9"/>
  <c r="F24" i="11" s="1"/>
  <c r="G24" i="11" s="1"/>
  <c r="E7" i="9"/>
  <c r="I11" i="11" s="1"/>
  <c r="J11" i="11" s="1"/>
  <c r="F7" i="9"/>
  <c r="L11" i="11" s="1"/>
  <c r="M11" i="11" s="1"/>
  <c r="H7" i="9"/>
  <c r="L14" i="11" s="1"/>
  <c r="M14" i="11" s="1"/>
  <c r="I11" i="9"/>
  <c r="I15" i="11" s="1"/>
  <c r="J15" i="11" s="1"/>
  <c r="H8" i="9"/>
  <c r="L15" i="11" s="1"/>
  <c r="M15" i="11" s="1"/>
  <c r="H9" i="9"/>
  <c r="L16" i="11" s="1"/>
  <c r="M16" i="11" s="1"/>
  <c r="H11" i="9"/>
  <c r="F20" i="11" s="1"/>
  <c r="G20" i="11" s="1"/>
  <c r="E11" i="9"/>
  <c r="F17" i="11" s="1"/>
  <c r="G17" i="11" s="1"/>
  <c r="E12" i="9"/>
  <c r="F21" i="11" s="1"/>
  <c r="G21" i="11" s="1"/>
  <c r="E9" i="9"/>
  <c r="F12" i="11" s="1"/>
  <c r="G12" i="11" s="1"/>
  <c r="E8" i="9"/>
  <c r="F11" i="11" s="1"/>
  <c r="G11" i="11" s="1"/>
  <c r="G9" i="9" l="1"/>
  <c r="I13" i="11" s="1"/>
  <c r="J13" i="11" s="1"/>
  <c r="K11" i="9"/>
  <c r="J7" i="9"/>
  <c r="L21" i="11" s="1"/>
  <c r="M21" i="11" s="1"/>
  <c r="I12" i="9"/>
  <c r="I8" i="9"/>
  <c r="L18" i="11" s="1"/>
  <c r="M18" i="11" s="1"/>
  <c r="G10" i="9"/>
  <c r="F16" i="11" s="1"/>
  <c r="G16" i="11" s="1"/>
  <c r="J8" i="9"/>
  <c r="L22" i="11" s="1"/>
  <c r="M22" i="11" s="1"/>
  <c r="I10" i="9"/>
  <c r="L20" i="11" s="1"/>
  <c r="M20" i="11" s="1"/>
  <c r="J12" i="9"/>
  <c r="I16" i="11" s="1"/>
  <c r="J16" i="11" s="1"/>
  <c r="J10" i="9"/>
  <c r="L24" i="11" s="1"/>
  <c r="M24" i="11" s="1"/>
  <c r="G8" i="9"/>
  <c r="L13" i="11" s="1"/>
  <c r="M13" i="11" s="1"/>
  <c r="I7" i="9"/>
  <c r="L17" i="11" s="1"/>
  <c r="M17" i="11" s="1"/>
  <c r="G7" i="9"/>
  <c r="L12" i="11" s="1"/>
  <c r="M12" i="11" s="1"/>
  <c r="J9" i="9"/>
  <c r="L23" i="11" s="1"/>
  <c r="M23" i="11" s="1"/>
  <c r="F13" i="9"/>
  <c r="K8" i="9"/>
  <c r="H13" i="9"/>
  <c r="E13" i="9"/>
  <c r="I13" i="9"/>
  <c r="F25" i="11"/>
  <c r="G25" i="11" s="1"/>
  <c r="E19" i="9" l="1"/>
  <c r="B15" i="11" s="1"/>
  <c r="C15" i="11" s="1"/>
  <c r="G13" i="9"/>
  <c r="I19" i="9"/>
  <c r="B28" i="11" s="1"/>
  <c r="C28" i="11" s="1"/>
  <c r="I17" i="9"/>
  <c r="B26" i="11" s="1"/>
  <c r="C26" i="11" s="1"/>
  <c r="K10" i="9"/>
  <c r="I15" i="9"/>
  <c r="B24" i="11" s="1"/>
  <c r="C24" i="11" s="1"/>
  <c r="I18" i="9"/>
  <c r="B27" i="11" s="1"/>
  <c r="C27" i="11" s="1"/>
  <c r="E16" i="9"/>
  <c r="B11" i="11" s="1"/>
  <c r="C11" i="11" s="1"/>
  <c r="K7" i="9"/>
  <c r="I20" i="9"/>
  <c r="B29" i="11" s="1"/>
  <c r="C29" i="11" s="1"/>
  <c r="I16" i="9"/>
  <c r="B25" i="11" s="1"/>
  <c r="C25" i="11" s="1"/>
  <c r="K9" i="9"/>
  <c r="E17" i="9" s="1"/>
  <c r="B12" i="11" s="1"/>
  <c r="C12" i="11" s="1"/>
  <c r="E20" i="9"/>
  <c r="B16" i="11" s="1"/>
  <c r="C16" i="11" s="1"/>
  <c r="E15" i="9"/>
  <c r="F16" i="9" l="1"/>
  <c r="B19" i="11"/>
  <c r="C19" i="11" s="1"/>
  <c r="F17" i="9"/>
  <c r="B21" i="11"/>
  <c r="C21" i="11" s="1"/>
  <c r="F15" i="9"/>
  <c r="B20" i="11"/>
  <c r="C20" i="11" s="1"/>
  <c r="B10" i="11"/>
  <c r="C10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02810-5B73-4E2A-8145-02F7E900E3C7}" keepAlive="1" name="Consulta - Tabla 10" description="Conexión a la consulta 'Tabla 10' en el libro." type="5" refreshedVersion="8" background="1" saveData="1">
    <dbPr connection="Provider=Microsoft.Mashup.OleDb.1;Data Source=$Workbook$;Location=&quot;Tabla 10&quot;;Extended Properties=&quot;&quot;" command="SELECT * FROM [Tabla 10]"/>
  </connection>
  <connection id="2" xr16:uid="{A7F89A35-B227-4060-9EEA-C96FC3AB625F}" keepAlive="1" name="Consulta - Tabla 6" description="Conexión a la consulta 'Tabla 6' en el libro." type="5" refreshedVersion="0" background="1">
    <dbPr connection="Provider=Microsoft.Mashup.OleDb.1;Data Source=$Workbook$;Location=&quot;Tabla 6&quot;;Extended Properties=&quot;&quot;" command="SELECT * FROM [Tabla 6]"/>
  </connection>
  <connection id="3" xr16:uid="{D8740C89-03CE-4AB6-B54F-0C6769BD35C1}" keepAlive="1" name="Consulta - Tabla 6 (2)" description="Conexión a la consulta 'Tabla 6 (2)' en el libro." type="5" refreshedVersion="8" background="1" saveData="1">
    <dbPr connection="Provider=Microsoft.Mashup.OleDb.1;Data Source=$Workbook$;Location=&quot;Tabla 6 (2)&quot;;Extended Properties=&quot;&quot;" command="SELECT * FROM [Tabla 6 (2)]"/>
  </connection>
  <connection id="4" xr16:uid="{E5D19DA2-8719-499B-9669-04442C41530F}" keepAlive="1" name="Consulta - Tabla 7" description="Conexión a la consulta 'Tabla 7' en el libro." type="5" refreshedVersion="0" background="1">
    <dbPr connection="Provider=Microsoft.Mashup.OleDb.1;Data Source=$Workbook$;Location=&quot;Tabla 7&quot;;Extended Properties=&quot;&quot;" command="SELECT * FROM [Tabla 7]"/>
  </connection>
  <connection id="5" xr16:uid="{73960357-383F-4919-A1D5-F16E8509D54A}" keepAlive="1" name="Consulta - Tabla 7 (2)" description="Conexión a la consulta 'Tabla 7 (2)' en el libro." type="5" refreshedVersion="8" background="1" saveData="1">
    <dbPr connection="Provider=Microsoft.Mashup.OleDb.1;Data Source=$Workbook$;Location=&quot;Tabla 7 (2)&quot;;Extended Properties=&quot;&quot;" command="SELECT * FROM [Tabla 7 (2)]"/>
  </connection>
  <connection id="6" xr16:uid="{BC9220AD-1D95-4D92-8D7B-25359E1C65D0}" keepAlive="1" name="Consulta - Tabla 9" description="Conexión a la consulta 'Tabla 9' en el libro." type="5" refreshedVersion="8" background="1" saveData="1">
    <dbPr connection="Provider=Microsoft.Mashup.OleDb.1;Data Source=$Workbook$;Location=&quot;Tabla 9&quot;;Extended Properties=&quot;&quot;" command="SELECT * FROM [Tabla 9]"/>
  </connection>
</connections>
</file>

<file path=xl/sharedStrings.xml><?xml version="1.0" encoding="utf-8"?>
<sst xmlns="http://schemas.openxmlformats.org/spreadsheetml/2006/main" count="254" uniqueCount="115">
  <si>
    <t>#</t>
  </si>
  <si>
    <t>Fluminense</t>
  </si>
  <si>
    <t>Athletico-PR</t>
  </si>
  <si>
    <t>Flamengo</t>
  </si>
  <si>
    <t>Cruzeiro</t>
  </si>
  <si>
    <t>Palmeiras</t>
  </si>
  <si>
    <t>Bragantino</t>
  </si>
  <si>
    <t>Santos</t>
  </si>
  <si>
    <t>Botafogo</t>
  </si>
  <si>
    <t>Grêmio</t>
  </si>
  <si>
    <t>Vitória</t>
  </si>
  <si>
    <t>São Paulo</t>
  </si>
  <si>
    <t>Bahia</t>
  </si>
  <si>
    <t>Atlético-MG</t>
  </si>
  <si>
    <t>Chapecoense</t>
  </si>
  <si>
    <t>Vasco</t>
  </si>
  <si>
    <t>Internacional</t>
  </si>
  <si>
    <t>Remo</t>
  </si>
  <si>
    <t>Mirassol</t>
  </si>
  <si>
    <t>Coritiba</t>
  </si>
  <si>
    <t>Corinthians</t>
  </si>
  <si>
    <t>Equipo</t>
  </si>
  <si>
    <t>JJ</t>
  </si>
  <si>
    <t>Goles Marcados</t>
  </si>
  <si>
    <t>Media de Visitante</t>
  </si>
  <si>
    <t>Media del local</t>
  </si>
  <si>
    <t>Goles Sufridos</t>
  </si>
  <si>
    <t>LOCAL</t>
  </si>
  <si>
    <t>VISITANTE</t>
  </si>
  <si>
    <t>EQUIPO</t>
  </si>
  <si>
    <t>J</t>
  </si>
  <si>
    <t>GF</t>
  </si>
  <si>
    <t>GC</t>
  </si>
  <si>
    <t>PROMEDIOS</t>
  </si>
  <si>
    <t>GF LOCAL</t>
  </si>
  <si>
    <t>CG LOCAL</t>
  </si>
  <si>
    <t>GF VISITA</t>
  </si>
  <si>
    <t>CG VISITA</t>
  </si>
  <si>
    <t>FA LOCAL</t>
  </si>
  <si>
    <t>FD LOCAL</t>
  </si>
  <si>
    <t>FA VSITANT</t>
  </si>
  <si>
    <t>FD VISITANT</t>
  </si>
  <si>
    <t>FUERZA ATAQUE / DEFENSA</t>
  </si>
  <si>
    <t>EQUIPO LOCAL</t>
  </si>
  <si>
    <t>EQUIPO VISITANTE</t>
  </si>
  <si>
    <t>Media Local</t>
  </si>
  <si>
    <t>Media Visitante</t>
  </si>
  <si>
    <t>FD Local</t>
  </si>
  <si>
    <t>FD Visitante</t>
  </si>
  <si>
    <t>Goles Esperados</t>
  </si>
  <si>
    <t>GANA LOCAL</t>
  </si>
  <si>
    <t>EMPATE</t>
  </si>
  <si>
    <t>GANA VISITA</t>
  </si>
  <si>
    <t>GANADOR DEL PARTIDO</t>
  </si>
  <si>
    <t>GANA VISITANTE</t>
  </si>
  <si>
    <t>CUOTA</t>
  </si>
  <si>
    <t>AMBOS MARCAN</t>
  </si>
  <si>
    <t>SI</t>
  </si>
  <si>
    <t>NO</t>
  </si>
  <si>
    <t>PORCENTAJE</t>
  </si>
  <si>
    <t>AMBOS NO MARCAN</t>
  </si>
  <si>
    <t>DOBLE OPORTUNID</t>
  </si>
  <si>
    <t>1X</t>
  </si>
  <si>
    <t>X2</t>
  </si>
  <si>
    <t>GOLES</t>
  </si>
  <si>
    <t>+0.5</t>
  </si>
  <si>
    <t>+1.5</t>
  </si>
  <si>
    <t>+2.5</t>
  </si>
  <si>
    <t>+3.5</t>
  </si>
  <si>
    <t>+4.5</t>
  </si>
  <si>
    <t>0.5</t>
  </si>
  <si>
    <t>1.5</t>
  </si>
  <si>
    <t>2.5</t>
  </si>
  <si>
    <t>3.5</t>
  </si>
  <si>
    <t>4.5</t>
  </si>
  <si>
    <t>5.5</t>
  </si>
  <si>
    <t>+5.5</t>
  </si>
  <si>
    <t>RESULTADO CORRECTO</t>
  </si>
  <si>
    <t>PORCENT</t>
  </si>
  <si>
    <t>1-0</t>
  </si>
  <si>
    <t>2-0</t>
  </si>
  <si>
    <t>2-1</t>
  </si>
  <si>
    <t>3-0</t>
  </si>
  <si>
    <t>3-1</t>
  </si>
  <si>
    <t>3-2</t>
  </si>
  <si>
    <t>4-0</t>
  </si>
  <si>
    <t>4-1</t>
  </si>
  <si>
    <t>4-2</t>
  </si>
  <si>
    <t>4-3</t>
  </si>
  <si>
    <t>5-0</t>
  </si>
  <si>
    <t>5-1</t>
  </si>
  <si>
    <t>5-2</t>
  </si>
  <si>
    <t>5-3</t>
  </si>
  <si>
    <t>5-4</t>
  </si>
  <si>
    <t>0-0</t>
  </si>
  <si>
    <t>1-1</t>
  </si>
  <si>
    <t>2-2</t>
  </si>
  <si>
    <t>3-3</t>
  </si>
  <si>
    <t>4-4</t>
  </si>
  <si>
    <t>5-5</t>
  </si>
  <si>
    <t>0-1</t>
  </si>
  <si>
    <t>0-2</t>
  </si>
  <si>
    <t>1-2</t>
  </si>
  <si>
    <t>0-3</t>
  </si>
  <si>
    <t>1-3</t>
  </si>
  <si>
    <t>2-3</t>
  </si>
  <si>
    <t>0-4</t>
  </si>
  <si>
    <t>1-4</t>
  </si>
  <si>
    <t>2-4</t>
  </si>
  <si>
    <t>3-4</t>
  </si>
  <si>
    <t>0-5</t>
  </si>
  <si>
    <t>1-5</t>
  </si>
  <si>
    <t>2-5</t>
  </si>
  <si>
    <t>3-5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</si>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</sst>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6" xfId="0" applyBorder="1" applyAlignment="1">
      <alignment horizontal="center"/>
    </xf>
    <xf numFmtId="0" fontId="0" fillId="0" borderId="1" xfId="0" applyNumberFormat="1" applyFont="1" applyFill="1" applyBorder="1"/>
    <xf numFmtId="166" fontId="0" fillId="3" borderId="0" xfId="0" applyNumberFormat="1" applyFill="1"/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7" fontId="0" fillId="0" borderId="2" xfId="0" applyNumberFormat="1" applyBorder="1"/>
    <xf numFmtId="0" fontId="0" fillId="5" borderId="2" xfId="0" applyFill="1" applyBorder="1" applyAlignment="1">
      <alignment horizontal="center"/>
    </xf>
    <xf numFmtId="49" fontId="0" fillId="0" borderId="0" xfId="0" applyNumberFormat="1"/>
    <xf numFmtId="49" fontId="0" fillId="5" borderId="2" xfId="0" applyNumberFormat="1" applyFill="1" applyBorder="1" applyAlignment="1">
      <alignment horizontal="center"/>
    </xf>
    <xf numFmtId="49" fontId="0" fillId="0" borderId="0" xfId="0" applyNumberFormat="1" applyAlignment="1">
      <alignment horizontal="right"/>
    </xf>
    <xf numFmtId="10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0" fontId="0" fillId="0" borderId="2" xfId="0" applyNumberFormat="1" applyFill="1" applyBorder="1"/>
    <xf numFmtId="10" fontId="0" fillId="0" borderId="2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164" fontId="0" fillId="6" borderId="3" xfId="0" applyNumberFormat="1" applyFill="1" applyBorder="1"/>
    <xf numFmtId="0" fontId="0" fillId="6" borderId="0" xfId="0" applyFill="1"/>
    <xf numFmtId="164" fontId="0" fillId="6" borderId="2" xfId="0" applyNumberForma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9EA352D-AC97-4BFD-8751-F490D69C2903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Equipo" tableColumnId="2"/>
      <queryTableField id="3" name="JJ" tableColumnId="3"/>
      <queryTableField id="4" name="Goles Marcados" tableColumnId="4"/>
      <queryTableField id="5" name="Media del loca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14D9D7AD-6C46-4BE6-AA94-114ABFE0BED6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Equipo" tableColumnId="2"/>
      <queryTableField id="3" name="JJ" tableColumnId="3"/>
      <queryTableField id="4" name="Goles Marcados" tableColumnId="4"/>
      <queryTableField id="5" name="Media de Visitan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26311379-2FCF-4069-8283-16A7BB71FD2B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Equipo" tableColumnId="2"/>
      <queryTableField id="3" name="JJ" tableColumnId="3"/>
      <queryTableField id="4" name="Goles Sufridos" tableColumnId="4"/>
      <queryTableField id="5" name="Media del loca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36A99D-6630-4DED-B2D9-DF59350FD6BD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Equipo" tableColumnId="2"/>
      <queryTableField id="3" name="JJ" tableColumnId="3"/>
      <queryTableField id="4" name="Goles Sufridos" tableColumnId="4"/>
      <queryTableField id="5" name="Media de Visitan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FABF12-C0C6-4C14-AB3D-2046BE2FAC60}" name="Tabla_6__2" displayName="Tabla_6__2" ref="A1:E21" tableType="queryTable" totalsRowShown="0">
  <autoFilter ref="A1:E21" xr:uid="{FAFABF12-C0C6-4C14-AB3D-2046BE2FAC60}"/>
  <tableColumns count="5">
    <tableColumn id="1" xr3:uid="{F41C1489-B350-4815-8190-50DEA44A88AF}" uniqueName="1" name="#" queryTableFieldId="1"/>
    <tableColumn id="2" xr3:uid="{FD9DC8FE-9480-4022-9649-9A9227D52982}" uniqueName="2" name="Equipo" queryTableFieldId="2" dataDxfId="3"/>
    <tableColumn id="3" xr3:uid="{DA2A5007-1CF5-440D-A42B-3B30D3310E16}" uniqueName="3" name="JJ" queryTableFieldId="3"/>
    <tableColumn id="4" xr3:uid="{6FA5F316-6FF0-4EBE-9F4D-C769233A104E}" uniqueName="4" name="Goles Marcados" queryTableFieldId="4"/>
    <tableColumn id="5" xr3:uid="{55277CF5-FEAC-46A4-A702-CE32FD8F53D2}" uniqueName="5" name="Media del local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56E895-68D2-4522-AC97-84FA88E5C7D2}" name="Tabla_7__2" displayName="Tabla_7__2" ref="A1:E21" tableType="queryTable" totalsRowShown="0">
  <autoFilter ref="A1:E21" xr:uid="{0456E895-68D2-4522-AC97-84FA88E5C7D2}"/>
  <tableColumns count="5">
    <tableColumn id="1" xr3:uid="{94271F12-FEFD-420C-BDE4-A8B328C1F94A}" uniqueName="1" name="#" queryTableFieldId="1"/>
    <tableColumn id="2" xr3:uid="{B7D5AC46-02E4-405F-BA97-295A82DCEFB1}" uniqueName="2" name="Equipo" queryTableFieldId="2" dataDxfId="2"/>
    <tableColumn id="3" xr3:uid="{472DD26E-0CCD-4CA4-ABC0-0FD978985DEE}" uniqueName="3" name="JJ" queryTableFieldId="3"/>
    <tableColumn id="4" xr3:uid="{D36327A8-6584-4AA5-915A-0CE8E202A2B7}" uniqueName="4" name="Goles Marcados" queryTableFieldId="4"/>
    <tableColumn id="5" xr3:uid="{380A288D-79AC-4F45-90CC-1F177CC199F8}" uniqueName="5" name="Media de Visitant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AE64D2-06F6-45E5-B714-5ABC69AFDE05}" name="Tabla_9" displayName="Tabla_9" ref="A1:E21" tableType="queryTable" totalsRowShown="0">
  <autoFilter ref="A1:E21" xr:uid="{21AE64D2-06F6-45E5-B714-5ABC69AFDE05}"/>
  <tableColumns count="5">
    <tableColumn id="1" xr3:uid="{A27FB897-516A-4C45-94A1-2F3C82ABCFCE}" uniqueName="1" name="#" queryTableFieldId="1"/>
    <tableColumn id="2" xr3:uid="{7BB07015-52E7-4F85-832F-87D43814EF3F}" uniqueName="2" name="Equipo" queryTableFieldId="2" dataDxfId="1"/>
    <tableColumn id="3" xr3:uid="{21577161-3E16-4AEC-886B-5D63CFD2C791}" uniqueName="3" name="JJ" queryTableFieldId="3"/>
    <tableColumn id="4" xr3:uid="{77D43EBA-665A-478F-9965-26DB3ABB6CDE}" uniqueName="4" name="Goles Sufridos" queryTableFieldId="4"/>
    <tableColumn id="5" xr3:uid="{B799F6EA-C3D8-4AC7-85C8-03BF42524421}" uniqueName="5" name="Media del local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DED3C0-6E30-452F-81B3-3CF279575E43}" name="Tabla_10" displayName="Tabla_10" ref="A1:E21" tableType="queryTable" totalsRowShown="0">
  <autoFilter ref="A1:E21" xr:uid="{67DED3C0-6E30-452F-81B3-3CF279575E43}"/>
  <tableColumns count="5">
    <tableColumn id="1" xr3:uid="{ABFCAA4A-7DF0-4F53-BDDF-8A8F863DFA78}" uniqueName="1" name="#" queryTableFieldId="1"/>
    <tableColumn id="2" xr3:uid="{043DCD3C-3B29-4A3C-99C1-F48C93A1CF5F}" uniqueName="2" name="Equipo" queryTableFieldId="2" dataDxfId="0"/>
    <tableColumn id="3" xr3:uid="{858FC86C-58F0-4CD5-977E-7C4D44870685}" uniqueName="3" name="JJ" queryTableFieldId="3"/>
    <tableColumn id="4" xr3:uid="{D6C25E31-6AEE-46F3-BD00-B19C99BB2090}" uniqueName="4" name="Goles Sufridos" queryTableFieldId="4"/>
    <tableColumn id="5" xr3:uid="{30AC8370-DB68-48DA-A12F-B9D440901CCB}" uniqueName="5" name="Media de Visitan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91E6-2680-4588-B020-D6525DA53648}">
  <dimension ref="A2:M29"/>
  <sheetViews>
    <sheetView tabSelected="1" workbookViewId="0">
      <selection activeCell="D3" sqref="D3"/>
    </sheetView>
  </sheetViews>
  <sheetFormatPr baseColWidth="10" defaultRowHeight="14.4" x14ac:dyDescent="0.3"/>
  <cols>
    <col min="1" max="1" width="17.5546875" customWidth="1"/>
    <col min="2" max="2" width="11.77734375" bestFit="1" customWidth="1"/>
    <col min="3" max="3" width="16.109375" bestFit="1" customWidth="1"/>
    <col min="4" max="4" width="12.88671875" customWidth="1"/>
    <col min="7" max="7" width="12.5546875" bestFit="1" customWidth="1"/>
    <col min="10" max="10" width="12.5546875" bestFit="1" customWidth="1"/>
    <col min="13" max="13" width="12.5546875" bestFit="1" customWidth="1"/>
  </cols>
  <sheetData>
    <row r="2" spans="1:13" ht="15" thickBot="1" x14ac:dyDescent="0.35"/>
    <row r="3" spans="1:13" ht="15" thickBot="1" x14ac:dyDescent="0.35">
      <c r="A3" s="3" t="s">
        <v>43</v>
      </c>
      <c r="B3" s="3" t="s">
        <v>10</v>
      </c>
      <c r="C3" s="3" t="s">
        <v>44</v>
      </c>
      <c r="D3" s="3" t="s">
        <v>16</v>
      </c>
    </row>
    <row r="4" spans="1:13" ht="15" thickBot="1" x14ac:dyDescent="0.35">
      <c r="A4" s="3" t="s">
        <v>45</v>
      </c>
      <c r="B4" s="28">
        <f>_xlfn.XLOOKUP(B3,Estadistica!A3:A22,Estadistica!I3:I22)</f>
        <v>1.75</v>
      </c>
      <c r="C4" s="3" t="s">
        <v>46</v>
      </c>
      <c r="D4" s="28">
        <f>_xlfn.XLOOKUP(D3,Estadistica!A3:A22,Estadistica!K3:K22)</f>
        <v>1.1111111111111112</v>
      </c>
    </row>
    <row r="5" spans="1:13" ht="15" thickBot="1" x14ac:dyDescent="0.35">
      <c r="A5" s="3" t="s">
        <v>47</v>
      </c>
      <c r="B5" s="28">
        <f>_xlfn.XLOOKUP(B3,Estadistica!A3:A22,Estadistica!O3:O22)</f>
        <v>0.33864795918367346</v>
      </c>
      <c r="C5" s="3" t="s">
        <v>48</v>
      </c>
      <c r="D5" s="28">
        <f>_xlfn.XLOOKUP(D3,Estadistica!A3:A22,Estadistica!Q3:Q22)</f>
        <v>0.92969696969696969</v>
      </c>
    </row>
    <row r="6" spans="1:13" ht="15" thickBot="1" x14ac:dyDescent="0.35">
      <c r="A6" s="3" t="s">
        <v>49</v>
      </c>
      <c r="B6" s="28">
        <f>B4*D5</f>
        <v>1.626969696969697</v>
      </c>
      <c r="C6" s="3" t="s">
        <v>49</v>
      </c>
      <c r="D6" s="28">
        <f>D4*B5</f>
        <v>0.37627551020408162</v>
      </c>
    </row>
    <row r="8" spans="1:13" ht="15" thickBot="1" x14ac:dyDescent="0.35"/>
    <row r="9" spans="1:13" ht="15" thickBot="1" x14ac:dyDescent="0.35">
      <c r="A9" s="26" t="s">
        <v>53</v>
      </c>
      <c r="B9" s="26"/>
      <c r="C9" s="27" t="s">
        <v>55</v>
      </c>
      <c r="E9" s="35" t="s">
        <v>77</v>
      </c>
      <c r="F9" s="35"/>
      <c r="G9" s="35"/>
      <c r="H9" s="35"/>
      <c r="I9" s="35"/>
      <c r="J9" s="35"/>
      <c r="K9" s="35"/>
      <c r="L9" s="35"/>
      <c r="M9" s="35"/>
    </row>
    <row r="10" spans="1:13" ht="15" thickBot="1" x14ac:dyDescent="0.35">
      <c r="A10" s="29" t="s">
        <v>50</v>
      </c>
      <c r="B10" s="33">
        <f>+Poisson!E15</f>
        <v>0.68131121943150685</v>
      </c>
      <c r="C10" s="34">
        <f>1/B10</f>
        <v>1.4677580105526669</v>
      </c>
      <c r="E10" s="29" t="s">
        <v>27</v>
      </c>
      <c r="F10" s="29" t="s">
        <v>78</v>
      </c>
      <c r="G10" s="29" t="s">
        <v>55</v>
      </c>
      <c r="H10" s="29" t="s">
        <v>51</v>
      </c>
      <c r="I10" s="29" t="s">
        <v>78</v>
      </c>
      <c r="J10" s="29" t="s">
        <v>55</v>
      </c>
      <c r="K10" s="29" t="s">
        <v>28</v>
      </c>
      <c r="L10" s="29" t="s">
        <v>78</v>
      </c>
      <c r="M10" s="29" t="s">
        <v>55</v>
      </c>
    </row>
    <row r="11" spans="1:13" ht="15" thickBot="1" x14ac:dyDescent="0.35">
      <c r="A11" s="29" t="s">
        <v>51</v>
      </c>
      <c r="B11" s="33">
        <f>+Poisson!E16</f>
        <v>0.23101153430536661</v>
      </c>
      <c r="C11" s="34">
        <f>1/B11</f>
        <v>4.328788183702259</v>
      </c>
      <c r="E11" s="38" t="s">
        <v>79</v>
      </c>
      <c r="F11" s="37">
        <f>+Poisson!E8</f>
        <v>0.21947301243551703</v>
      </c>
      <c r="G11" s="39">
        <f>1/F11</f>
        <v>4.5563688624076644</v>
      </c>
      <c r="H11" s="38" t="s">
        <v>94</v>
      </c>
      <c r="I11" s="36">
        <f>+Poisson!E7</f>
        <v>0.13489680406727628</v>
      </c>
      <c r="J11" s="40">
        <f>1/I11</f>
        <v>7.41307406735356</v>
      </c>
      <c r="K11" s="38" t="s">
        <v>100</v>
      </c>
      <c r="L11" s="36">
        <f>+Poisson!F7</f>
        <v>5.0758363775314411E-2</v>
      </c>
      <c r="M11" s="42">
        <f>1/L11</f>
        <v>19.701186673915903</v>
      </c>
    </row>
    <row r="12" spans="1:13" ht="15" thickBot="1" x14ac:dyDescent="0.35">
      <c r="A12" s="29" t="s">
        <v>54</v>
      </c>
      <c r="B12" s="33">
        <f>+Poisson!E17</f>
        <v>8.1144534635635798E-2</v>
      </c>
      <c r="C12" s="34">
        <f>1/B12</f>
        <v>12.323688890327748</v>
      </c>
      <c r="E12" s="38" t="s">
        <v>80</v>
      </c>
      <c r="F12" s="37">
        <f>+Poisson!E9</f>
        <v>0.17853797026761992</v>
      </c>
      <c r="G12" s="39">
        <f t="shared" ref="G12:G25" si="0">1/F12</f>
        <v>5.6010494490390341</v>
      </c>
      <c r="H12" s="38" t="s">
        <v>95</v>
      </c>
      <c r="I12" s="36">
        <f>+Poisson!F8</f>
        <v>8.2582319730200915E-2</v>
      </c>
      <c r="J12" s="40">
        <f t="shared" ref="J12:J16" si="1">1/I12</f>
        <v>12.109129451280033</v>
      </c>
      <c r="K12" s="38" t="s">
        <v>101</v>
      </c>
      <c r="L12" s="36">
        <f>+Poisson!G7</f>
        <v>9.5495646133404027E-3</v>
      </c>
      <c r="M12" s="42">
        <f t="shared" ref="M12:M25" si="2">1/L12</f>
        <v>104.71681594813606</v>
      </c>
    </row>
    <row r="13" spans="1:13" ht="15" thickBot="1" x14ac:dyDescent="0.35">
      <c r="A13" s="2"/>
      <c r="B13" s="2"/>
      <c r="C13" s="2"/>
      <c r="E13" s="38" t="s">
        <v>81</v>
      </c>
      <c r="F13" s="37">
        <f>+Poisson!F9</f>
        <v>6.7179465853249826E-2</v>
      </c>
      <c r="G13" s="39">
        <f t="shared" si="0"/>
        <v>14.885500908632554</v>
      </c>
      <c r="H13" s="38" t="s">
        <v>96</v>
      </c>
      <c r="I13" s="36">
        <f>+Poisson!G9</f>
        <v>1.2638993894584631E-2</v>
      </c>
      <c r="J13" s="40">
        <f t="shared" si="1"/>
        <v>79.120221778765568</v>
      </c>
      <c r="K13" s="38" t="s">
        <v>102</v>
      </c>
      <c r="L13" s="36">
        <f>+Poisson!G8</f>
        <v>1.5536852245158975E-2</v>
      </c>
      <c r="M13" s="42">
        <f t="shared" si="2"/>
        <v>64.36310162578674</v>
      </c>
    </row>
    <row r="14" spans="1:13" ht="15" thickBot="1" x14ac:dyDescent="0.35">
      <c r="A14" s="27" t="s">
        <v>56</v>
      </c>
      <c r="B14" s="27" t="s">
        <v>59</v>
      </c>
      <c r="C14" s="27" t="s">
        <v>55</v>
      </c>
      <c r="E14" s="38" t="s">
        <v>82</v>
      </c>
      <c r="F14" s="37">
        <f>+Poisson!E10</f>
        <v>9.6825289127964759E-2</v>
      </c>
      <c r="G14" s="39">
        <f t="shared" si="0"/>
        <v>10.327880340004926</v>
      </c>
      <c r="H14" s="38" t="s">
        <v>97</v>
      </c>
      <c r="I14" s="36">
        <f>+Poisson!H10</f>
        <v>8.5971679700522837E-4</v>
      </c>
      <c r="J14" s="40">
        <f t="shared" si="1"/>
        <v>1163.1737375417576</v>
      </c>
      <c r="K14" s="38" t="s">
        <v>103</v>
      </c>
      <c r="L14" s="36">
        <f>+Poisson!H7</f>
        <v>1.197755765703835E-3</v>
      </c>
      <c r="M14" s="42">
        <f t="shared" si="2"/>
        <v>834.89474952547766</v>
      </c>
    </row>
    <row r="15" spans="1:13" ht="15" thickBot="1" x14ac:dyDescent="0.35">
      <c r="A15" s="29" t="s">
        <v>57</v>
      </c>
      <c r="B15" s="33">
        <f>+Poisson!E19</f>
        <v>0.24990945067752593</v>
      </c>
      <c r="C15" s="34">
        <f>1/B15</f>
        <v>4.0014493140972229</v>
      </c>
      <c r="E15" s="38" t="s">
        <v>83</v>
      </c>
      <c r="F15" s="37">
        <f>+Poisson!F10</f>
        <v>3.6432985067282653E-2</v>
      </c>
      <c r="G15" s="39">
        <f t="shared" si="0"/>
        <v>27.447654869708014</v>
      </c>
      <c r="H15" s="38" t="s">
        <v>98</v>
      </c>
      <c r="I15" s="36">
        <f>+Poisson!I11</f>
        <v>3.2894314981464401E-5</v>
      </c>
      <c r="J15" s="40">
        <f t="shared" si="1"/>
        <v>30400.389871729796</v>
      </c>
      <c r="K15" s="38" t="s">
        <v>104</v>
      </c>
      <c r="L15" s="36">
        <f>+Poisson!H8</f>
        <v>1.9487123351708754E-3</v>
      </c>
      <c r="M15" s="42">
        <f t="shared" si="2"/>
        <v>513.15937296220466</v>
      </c>
    </row>
    <row r="16" spans="1:13" ht="15" thickBot="1" x14ac:dyDescent="0.35">
      <c r="A16" s="29" t="s">
        <v>58</v>
      </c>
      <c r="B16" s="33">
        <f>+Poisson!E20</f>
        <v>0.7500905493224741</v>
      </c>
      <c r="C16" s="34">
        <f>1/B16</f>
        <v>1.3331723761927927</v>
      </c>
      <c r="E16" s="38" t="s">
        <v>84</v>
      </c>
      <c r="F16" s="37">
        <f>+Poisson!G10</f>
        <v>6.8544200222247342E-3</v>
      </c>
      <c r="G16" s="39">
        <f t="shared" si="0"/>
        <v>145.89126384983783</v>
      </c>
      <c r="H16" s="38" t="s">
        <v>99</v>
      </c>
      <c r="I16" s="36">
        <f>+Poisson!J12</f>
        <v>8.0550131810400905E-7</v>
      </c>
      <c r="J16" s="40">
        <f t="shared" si="1"/>
        <v>1241462.8971108359</v>
      </c>
      <c r="K16" s="38" t="s">
        <v>105</v>
      </c>
      <c r="L16" s="36">
        <f>+Poisson!H9</f>
        <v>1.5852479587170354E-3</v>
      </c>
      <c r="M16" s="42">
        <f t="shared" si="2"/>
        <v>630.81614109714087</v>
      </c>
    </row>
    <row r="17" spans="1:13" ht="15" thickBot="1" x14ac:dyDescent="0.35">
      <c r="B17" s="2"/>
      <c r="C17" s="2"/>
      <c r="E17" s="38" t="s">
        <v>85</v>
      </c>
      <c r="F17" s="37">
        <f>+Poisson!E11</f>
        <v>3.9382952827882019E-2</v>
      </c>
      <c r="G17" s="39">
        <f t="shared" si="0"/>
        <v>25.391696868702752</v>
      </c>
      <c r="H17" s="30"/>
      <c r="J17" s="41"/>
      <c r="K17" s="38" t="s">
        <v>106</v>
      </c>
      <c r="L17" s="36">
        <f>+Poisson!I7</f>
        <v>1.1267154046002268E-4</v>
      </c>
      <c r="M17" s="42">
        <f t="shared" si="2"/>
        <v>8875.3557102098293</v>
      </c>
    </row>
    <row r="18" spans="1:13" ht="15" thickBot="1" x14ac:dyDescent="0.35">
      <c r="A18" s="27" t="s">
        <v>61</v>
      </c>
      <c r="B18" s="27" t="s">
        <v>59</v>
      </c>
      <c r="C18" s="27" t="s">
        <v>55</v>
      </c>
      <c r="E18" s="38" t="s">
        <v>86</v>
      </c>
      <c r="F18" s="37">
        <f>+Poisson!F11</f>
        <v>1.4818840668654586E-2</v>
      </c>
      <c r="G18" s="39">
        <f t="shared" si="0"/>
        <v>67.481662186654091</v>
      </c>
      <c r="H18" s="30"/>
      <c r="J18" s="41"/>
      <c r="K18" s="38" t="s">
        <v>107</v>
      </c>
      <c r="L18" s="36">
        <f>+Poisson!I8</f>
        <v>1.8331318203935201E-4</v>
      </c>
      <c r="M18" s="42">
        <f t="shared" si="2"/>
        <v>5455.145063082965</v>
      </c>
    </row>
    <row r="19" spans="1:13" ht="15" thickBot="1" x14ac:dyDescent="0.35">
      <c r="A19" s="29" t="s">
        <v>62</v>
      </c>
      <c r="B19" s="33">
        <f>+Poisson!E15+Poisson!E16</f>
        <v>0.91232275373687344</v>
      </c>
      <c r="C19" s="34">
        <f>1/B19</f>
        <v>1.0961033207864219</v>
      </c>
      <c r="E19" s="38" t="s">
        <v>87</v>
      </c>
      <c r="F19" s="37">
        <f>+Poisson!G11</f>
        <v>2.7879834166154994E-3</v>
      </c>
      <c r="G19" s="39">
        <f t="shared" si="0"/>
        <v>358.68219087685969</v>
      </c>
      <c r="H19" s="30"/>
      <c r="J19" s="41"/>
      <c r="K19" s="38" t="s">
        <v>108</v>
      </c>
      <c r="L19" s="36">
        <f>+Poisson!I9</f>
        <v>1.4912249611655776E-4</v>
      </c>
      <c r="M19" s="42">
        <f t="shared" si="2"/>
        <v>6705.8963338326612</v>
      </c>
    </row>
    <row r="20" spans="1:13" ht="15" thickBot="1" x14ac:dyDescent="0.35">
      <c r="A20" s="29">
        <v>12</v>
      </c>
      <c r="B20" s="33">
        <f>+Poisson!E15+Poisson!E17</f>
        <v>0.76245575406714261</v>
      </c>
      <c r="C20" s="34">
        <f>1/B20</f>
        <v>1.3115515158299127</v>
      </c>
      <c r="E20" s="38" t="s">
        <v>88</v>
      </c>
      <c r="F20" s="37">
        <f>+Poisson!H11</f>
        <v>3.4968329417583868E-4</v>
      </c>
      <c r="G20" s="39">
        <f t="shared" si="0"/>
        <v>2859.7305523470295</v>
      </c>
      <c r="H20" s="30"/>
      <c r="J20" s="41"/>
      <c r="K20" s="38" t="s">
        <v>109</v>
      </c>
      <c r="L20" s="36">
        <f>+Poisson!I10</f>
        <v>8.087259410604025E-5</v>
      </c>
      <c r="M20" s="42">
        <f t="shared" si="2"/>
        <v>12365.128274342216</v>
      </c>
    </row>
    <row r="21" spans="1:13" ht="15" thickBot="1" x14ac:dyDescent="0.35">
      <c r="A21" s="29" t="s">
        <v>63</v>
      </c>
      <c r="B21" s="33">
        <f>+Poisson!E16+Poisson!E17</f>
        <v>0.3121560689410024</v>
      </c>
      <c r="C21" s="34">
        <f>1/B21</f>
        <v>3.2035257343947405</v>
      </c>
      <c r="E21" s="38" t="s">
        <v>89</v>
      </c>
      <c r="F21" s="37">
        <f>+Poisson!E12</f>
        <v>1.2814974165630218E-2</v>
      </c>
      <c r="G21" s="39">
        <f t="shared" si="0"/>
        <v>78.033711740285966</v>
      </c>
      <c r="H21" s="30"/>
      <c r="J21" s="41"/>
      <c r="K21" s="38" t="s">
        <v>110</v>
      </c>
      <c r="L21" s="36">
        <f>+Poisson!J7</f>
        <v>8.4791082744149733E-6</v>
      </c>
      <c r="M21" s="42">
        <f t="shared" si="2"/>
        <v>117936.93011533059</v>
      </c>
    </row>
    <row r="22" spans="1:13" ht="15" thickBot="1" x14ac:dyDescent="0.35">
      <c r="A22" s="2"/>
      <c r="E22" s="38" t="s">
        <v>90</v>
      </c>
      <c r="F22" s="37">
        <f>+Poisson!F12</f>
        <v>4.821960942424635E-3</v>
      </c>
      <c r="G22" s="39">
        <f t="shared" si="0"/>
        <v>207.38450848943796</v>
      </c>
      <c r="H22" s="30"/>
      <c r="J22" s="41"/>
      <c r="K22" s="38" t="s">
        <v>111</v>
      </c>
      <c r="L22" s="36">
        <f>+Poisson!J8</f>
        <v>1.3795252219798177E-5</v>
      </c>
      <c r="M22" s="42">
        <f t="shared" si="2"/>
        <v>72488.70727893294</v>
      </c>
    </row>
    <row r="23" spans="1:13" ht="15" thickBot="1" x14ac:dyDescent="0.35">
      <c r="A23" s="27" t="s">
        <v>64</v>
      </c>
      <c r="B23" s="27" t="s">
        <v>59</v>
      </c>
      <c r="C23" s="27" t="s">
        <v>55</v>
      </c>
      <c r="E23" s="38" t="s">
        <v>91</v>
      </c>
      <c r="F23" s="37">
        <f>+Poisson!G12</f>
        <v>9.0719290689749202E-4</v>
      </c>
      <c r="G23" s="39">
        <f t="shared" si="0"/>
        <v>1102.3013874964024</v>
      </c>
      <c r="H23" s="30"/>
      <c r="J23" s="41"/>
      <c r="K23" s="38" t="s">
        <v>112</v>
      </c>
      <c r="L23" s="36">
        <f>+Poisson!J9</f>
        <v>1.1222228661832792E-5</v>
      </c>
      <c r="M23" s="42">
        <f t="shared" si="2"/>
        <v>89108.859758047562</v>
      </c>
    </row>
    <row r="24" spans="1:13" ht="15" thickBot="1" x14ac:dyDescent="0.35">
      <c r="A24" s="31" t="s">
        <v>65</v>
      </c>
      <c r="B24" s="33">
        <f>+Poisson!I15</f>
        <v>0.85857048430523286</v>
      </c>
      <c r="C24" s="34">
        <f>1/B24</f>
        <v>1.1647267385498512</v>
      </c>
      <c r="E24" s="38" t="s">
        <v>92</v>
      </c>
      <c r="F24" s="37">
        <f>+Poisson!H12</f>
        <v>1.1378482463212595E-4</v>
      </c>
      <c r="G24" s="39">
        <f t="shared" si="0"/>
        <v>8788.5181809882615</v>
      </c>
      <c r="H24" s="30"/>
      <c r="J24" s="41"/>
      <c r="K24" s="38" t="s">
        <v>113</v>
      </c>
      <c r="L24" s="36">
        <f>+Poisson!J10</f>
        <v>6.0860753217555811E-6</v>
      </c>
      <c r="M24" s="42">
        <f t="shared" si="2"/>
        <v>164309.50113702196</v>
      </c>
    </row>
    <row r="25" spans="1:13" ht="15" thickBot="1" x14ac:dyDescent="0.35">
      <c r="A25" s="31" t="s">
        <v>66</v>
      </c>
      <c r="B25" s="33">
        <f>+Poisson!I16</f>
        <v>0.58833910809440138</v>
      </c>
      <c r="C25" s="34">
        <f t="shared" ref="C25:C29" si="3">1/B25</f>
        <v>1.6997000305469172</v>
      </c>
      <c r="E25" s="38" t="s">
        <v>93</v>
      </c>
      <c r="F25" s="37">
        <f>+Poisson!I12</f>
        <v>1.0703610735483781E-5</v>
      </c>
      <c r="G25" s="39">
        <f t="shared" si="0"/>
        <v>93426.417001963404</v>
      </c>
      <c r="H25" s="30"/>
      <c r="J25" s="41"/>
      <c r="K25" s="38" t="s">
        <v>114</v>
      </c>
      <c r="L25" s="36">
        <f>+Poisson!J11</f>
        <v>2.4754650304928565E-6</v>
      </c>
      <c r="M25" s="42">
        <f t="shared" si="2"/>
        <v>403964.50270230777</v>
      </c>
    </row>
    <row r="26" spans="1:13" ht="15" thickBot="1" x14ac:dyDescent="0.35">
      <c r="A26" s="31" t="s">
        <v>67</v>
      </c>
      <c r="B26" s="33">
        <f>+Poisson!I17</f>
        <v>0.31766925348324015</v>
      </c>
      <c r="C26" s="34">
        <f t="shared" si="3"/>
        <v>3.1479281958672742</v>
      </c>
      <c r="E26" s="30"/>
      <c r="M26" s="41"/>
    </row>
    <row r="27" spans="1:13" ht="15" thickBot="1" x14ac:dyDescent="0.35">
      <c r="A27" s="31" t="s">
        <v>68</v>
      </c>
      <c r="B27" s="33">
        <f>+Poisson!I18</f>
        <v>0.13692989049116272</v>
      </c>
      <c r="C27" s="34">
        <f t="shared" si="3"/>
        <v>7.303007374160857</v>
      </c>
      <c r="E27" s="30"/>
    </row>
    <row r="28" spans="1:13" ht="15" thickBot="1" x14ac:dyDescent="0.35">
      <c r="A28" s="31" t="s">
        <v>69</v>
      </c>
      <c r="B28" s="33">
        <f>+Poisson!I19</f>
        <v>4.6413574825782504E-2</v>
      </c>
      <c r="C28" s="34">
        <f t="shared" si="3"/>
        <v>21.545420790223318</v>
      </c>
      <c r="E28" s="30"/>
    </row>
    <row r="29" spans="1:13" ht="15" thickBot="1" x14ac:dyDescent="0.35">
      <c r="A29" s="31" t="s">
        <v>76</v>
      </c>
      <c r="B29" s="33">
        <f>+Poisson!I20</f>
        <v>1.0148299720242192E-2</v>
      </c>
      <c r="C29" s="34">
        <f t="shared" si="3"/>
        <v>98.538674218042772</v>
      </c>
      <c r="E29" s="30"/>
    </row>
  </sheetData>
  <mergeCells count="2">
    <mergeCell ref="A9:B9"/>
    <mergeCell ref="E9:M9"/>
  </mergeCells>
  <phoneticPr fontId="3" type="noConversion"/>
  <conditionalFormatting sqref="F11:F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{CECA698C-7C3A-40DC-B28E-4B6B4FD514F4}</x14:id>
        </ext>
      </extLst>
    </cfRule>
  </conditionalFormatting>
  <conditionalFormatting sqref="I11:I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{25E93175-2E80-41FA-A5E3-DD0E88DADD89}</x14:id>
        </ext>
      </extLst>
    </cfRule>
  </conditionalFormatting>
  <conditionalFormatting sqref="L11:L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{FAFA84B7-EFD5-4BDB-80FF-88DCC2ED02FE}</x14:id>
        </ext>
      </extLst>
    </cfRule>
  </conditionalFormatting>
  <conditionalFormatting sqref="B24:B2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{C34D415E-519A-4839-B80D-53B8A2DFA5F5}</x14:id>
        </ext>
      </extLst>
    </cfRule>
  </conditionalFormatting>
  <conditionalFormatting sqref="B15:B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{29A524C8-3CD3-49B9-8794-E5BC4D11C30B}</x14:id>
        </ext>
      </extLst>
    </cfRule>
  </conditionalFormatting>
  <conditionalFormatting sqref="B19:B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{EDB72155-4858-4882-9391-E88D1A1778FA}</x14:id>
        </ext>
      </extLst>
    </cfRule>
  </conditionalFormatting>
  <conditionalFormatting sqref="B10:B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{73C10C80-3D22-426F-901C-CC90E40B984E}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CA698C-7C3A-40DC-B28E-4B6B4FD514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F11:F25</xm:sqref>
        </x14:conditionalFormatting>
        <x14:conditionalFormatting xmlns:xm="http://schemas.microsoft.com/office/excel/2006/main">
          <x14:cfRule type="dataBar" id="{25E93175-2E80-41FA-A5E3-DD0E88DAD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I11:I16</xm:sqref>
        </x14:conditionalFormatting>
        <x14:conditionalFormatting xmlns:xm="http://schemas.microsoft.com/office/excel/2006/main">
          <x14:cfRule type="dataBar" id="{FAFA84B7-EFD5-4BDB-80FF-88DCC2ED0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L11:L25</xm:sqref>
        </x14:conditionalFormatting>
        <x14:conditionalFormatting xmlns:xm="http://schemas.microsoft.com/office/excel/2006/main">
          <x14:cfRule type="dataBar" id="{C34D415E-519A-4839-B80D-53B8A2DFA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29A524C8-3CD3-49B9-8794-E5BC4D11C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B15:B16</xm:sqref>
        </x14:conditionalFormatting>
        <x14:conditionalFormatting xmlns:xm="http://schemas.microsoft.com/office/excel/2006/main">
          <x14:cfRule type="dataBar" id="{EDB72155-4858-4882-9391-E88D1A1778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B19:B21</xm:sqref>
        </x14:conditionalFormatting>
        <x14:conditionalFormatting xmlns:xm="http://schemas.microsoft.com/office/excel/2006/main">
          <x14:cfRule type="dataBar" id="{73C10C80-3D22-426F-901C-CC90E40B9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B10:B12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F29B2-D030-457D-B24A-5792B875D5AC}">
          <x14:formula1>
            <xm:f>Lista!$A$2:$A$21</xm:f>
          </x14:formula1>
          <xm:sqref>B3 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BEDF-CC03-4EB0-AAA3-499640357370}">
  <dimension ref="A2:A21"/>
  <sheetViews>
    <sheetView workbookViewId="0">
      <selection activeCell="F12" sqref="F12"/>
    </sheetView>
  </sheetViews>
  <sheetFormatPr baseColWidth="10" defaultRowHeight="14.4" x14ac:dyDescent="0.3"/>
  <cols>
    <col min="1" max="1" width="12.109375" bestFit="1" customWidth="1"/>
  </cols>
  <sheetData>
    <row r="2" spans="1:1" x14ac:dyDescent="0.3">
      <c r="A2" s="24" t="s">
        <v>2</v>
      </c>
    </row>
    <row r="3" spans="1:1" x14ac:dyDescent="0.3">
      <c r="A3" s="24" t="s">
        <v>13</v>
      </c>
    </row>
    <row r="4" spans="1:1" x14ac:dyDescent="0.3">
      <c r="A4" s="24" t="s">
        <v>12</v>
      </c>
    </row>
    <row r="5" spans="1:1" x14ac:dyDescent="0.3">
      <c r="A5" s="24" t="s">
        <v>8</v>
      </c>
    </row>
    <row r="6" spans="1:1" x14ac:dyDescent="0.3">
      <c r="A6" s="24" t="s">
        <v>6</v>
      </c>
    </row>
    <row r="7" spans="1:1" x14ac:dyDescent="0.3">
      <c r="A7" s="24" t="s">
        <v>14</v>
      </c>
    </row>
    <row r="8" spans="1:1" x14ac:dyDescent="0.3">
      <c r="A8" s="24" t="s">
        <v>20</v>
      </c>
    </row>
    <row r="9" spans="1:1" x14ac:dyDescent="0.3">
      <c r="A9" s="24" t="s">
        <v>19</v>
      </c>
    </row>
    <row r="10" spans="1:1" x14ac:dyDescent="0.3">
      <c r="A10" s="24" t="s">
        <v>4</v>
      </c>
    </row>
    <row r="11" spans="1:1" x14ac:dyDescent="0.3">
      <c r="A11" s="24" t="s">
        <v>3</v>
      </c>
    </row>
    <row r="12" spans="1:1" x14ac:dyDescent="0.3">
      <c r="A12" s="24" t="s">
        <v>1</v>
      </c>
    </row>
    <row r="13" spans="1:1" x14ac:dyDescent="0.3">
      <c r="A13" s="24" t="s">
        <v>9</v>
      </c>
    </row>
    <row r="14" spans="1:1" x14ac:dyDescent="0.3">
      <c r="A14" s="24" t="s">
        <v>16</v>
      </c>
    </row>
    <row r="15" spans="1:1" x14ac:dyDescent="0.3">
      <c r="A15" s="24" t="s">
        <v>18</v>
      </c>
    </row>
    <row r="16" spans="1:1" x14ac:dyDescent="0.3">
      <c r="A16" s="24" t="s">
        <v>5</v>
      </c>
    </row>
    <row r="17" spans="1:1" x14ac:dyDescent="0.3">
      <c r="A17" s="24" t="s">
        <v>17</v>
      </c>
    </row>
    <row r="18" spans="1:1" x14ac:dyDescent="0.3">
      <c r="A18" s="24" t="s">
        <v>7</v>
      </c>
    </row>
    <row r="19" spans="1:1" x14ac:dyDescent="0.3">
      <c r="A19" s="24" t="s">
        <v>11</v>
      </c>
    </row>
    <row r="20" spans="1:1" x14ac:dyDescent="0.3">
      <c r="A20" s="24" t="s">
        <v>15</v>
      </c>
    </row>
    <row r="21" spans="1:1" x14ac:dyDescent="0.3">
      <c r="A21" s="2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66C0-456F-4899-B484-3B4FDE37242E}">
  <dimension ref="B1:K20"/>
  <sheetViews>
    <sheetView workbookViewId="0">
      <selection activeCell="K21" sqref="K21"/>
    </sheetView>
  </sheetViews>
  <sheetFormatPr baseColWidth="10" defaultRowHeight="14.4" x14ac:dyDescent="0.3"/>
  <cols>
    <col min="4" max="4" width="17.77734375" bestFit="1" customWidth="1"/>
  </cols>
  <sheetData>
    <row r="1" spans="2:11" x14ac:dyDescent="0.3">
      <c r="E1">
        <v>0</v>
      </c>
      <c r="F1">
        <v>1</v>
      </c>
      <c r="G1">
        <v>2</v>
      </c>
      <c r="H1">
        <v>3</v>
      </c>
      <c r="I1">
        <v>4</v>
      </c>
      <c r="J1">
        <v>5</v>
      </c>
    </row>
    <row r="2" spans="2:11" x14ac:dyDescent="0.3">
      <c r="D2" t="s">
        <v>27</v>
      </c>
      <c r="E2">
        <f>_xlfn.POISSON.DIST(E1,Calculadora!$B$6,FALSE)</f>
        <v>0.19652420060329398</v>
      </c>
      <c r="F2">
        <f>_xlfn.POISSON.DIST(F1,Calculadora!$B$6,FALSE)</f>
        <v>0.31973891910275309</v>
      </c>
      <c r="G2">
        <f>_xlfn.POISSON.DIST(G1,Calculadora!$B$6,FALSE)</f>
        <v>0.26010276616101241</v>
      </c>
      <c r="H2">
        <f>_xlfn.POISSON.DIST(H1,Calculadora!$B$6,FALSE)</f>
        <v>0.14105977288065408</v>
      </c>
      <c r="I2">
        <f>_xlfn.POISSON.DIST(I1,Calculadora!$B$6,FALSE)</f>
        <v>5.7374993984563E-2</v>
      </c>
      <c r="J2">
        <f>_xlfn.POISSON.DIST(J1,Calculadora!$B$6,FALSE)</f>
        <v>1.8669475315340533E-2</v>
      </c>
    </row>
    <row r="3" spans="2:11" x14ac:dyDescent="0.3">
      <c r="D3" t="s">
        <v>28</v>
      </c>
      <c r="E3">
        <f>_xlfn.POISSON.DIST(E1,Calculadora!$D$6,FALSE)</f>
        <v>0.68641319314958327</v>
      </c>
      <c r="F3">
        <f>_xlfn.POISSON.DIST(F1,Calculadora!$D$6,FALSE)</f>
        <v>0.25828047446317226</v>
      </c>
      <c r="G3">
        <f>_xlfn.POISSON.DIST(G1,Calculadora!$D$6,FALSE)</f>
        <v>4.8592308652191211E-2</v>
      </c>
      <c r="H3">
        <f>_xlfn.POISSON.DIST(H1,Calculadora!$D$6,FALSE)</f>
        <v>6.0946985766991545E-3</v>
      </c>
      <c r="I3">
        <f>_xlfn.POISSON.DIST(I1,Calculadora!$D$6,FALSE)</f>
        <v>5.7332145412189082E-4</v>
      </c>
      <c r="J3">
        <f>_xlfn.POISSON.DIST(J1,Calculadora!$D$6,FALSE)</f>
        <v>4.3145364532132095E-5</v>
      </c>
    </row>
    <row r="5" spans="2:11" x14ac:dyDescent="0.3">
      <c r="F5" t="s">
        <v>28</v>
      </c>
    </row>
    <row r="6" spans="2:11" x14ac:dyDescent="0.3">
      <c r="E6">
        <v>0</v>
      </c>
      <c r="F6">
        <v>1</v>
      </c>
      <c r="G6">
        <v>2</v>
      </c>
      <c r="H6">
        <v>3</v>
      </c>
      <c r="I6">
        <v>4</v>
      </c>
      <c r="J6">
        <v>5</v>
      </c>
    </row>
    <row r="7" spans="2:11" x14ac:dyDescent="0.3">
      <c r="D7">
        <v>0</v>
      </c>
      <c r="E7" s="25">
        <f>$E$2*E3</f>
        <v>0.13489680406727628</v>
      </c>
      <c r="F7" s="21">
        <f t="shared" ref="F7:J7" si="0">$E$2*F3</f>
        <v>5.0758363775314411E-2</v>
      </c>
      <c r="G7" s="21">
        <f t="shared" si="0"/>
        <v>9.5495646133404027E-3</v>
      </c>
      <c r="H7" s="21">
        <f t="shared" si="0"/>
        <v>1.197755765703835E-3</v>
      </c>
      <c r="I7" s="21">
        <f t="shared" si="0"/>
        <v>1.1267154046002268E-4</v>
      </c>
      <c r="J7" s="21">
        <f t="shared" si="0"/>
        <v>8.4791082744149733E-6</v>
      </c>
      <c r="K7" s="21">
        <f>SUM(F7:J7)</f>
        <v>6.162683480309309E-2</v>
      </c>
    </row>
    <row r="8" spans="2:11" x14ac:dyDescent="0.3">
      <c r="D8">
        <v>1</v>
      </c>
      <c r="E8" s="21">
        <f>$F$2*E3</f>
        <v>0.21947301243551703</v>
      </c>
      <c r="F8" s="25">
        <f t="shared" ref="F8:J8" si="1">$F$2*F3</f>
        <v>8.2582319730200915E-2</v>
      </c>
      <c r="G8" s="21">
        <f t="shared" si="1"/>
        <v>1.5536852245158975E-2</v>
      </c>
      <c r="H8" s="21">
        <f t="shared" si="1"/>
        <v>1.9487123351708754E-3</v>
      </c>
      <c r="I8" s="21">
        <f t="shared" si="1"/>
        <v>1.8331318203935201E-4</v>
      </c>
      <c r="J8" s="21">
        <f t="shared" si="1"/>
        <v>1.3795252219798177E-5</v>
      </c>
      <c r="K8" s="21">
        <f>SUM(G8:J8)</f>
        <v>1.7682673014589E-2</v>
      </c>
    </row>
    <row r="9" spans="2:11" x14ac:dyDescent="0.3">
      <c r="B9" t="s">
        <v>27</v>
      </c>
      <c r="D9">
        <v>2</v>
      </c>
      <c r="E9" s="21">
        <f>$G$2*E3</f>
        <v>0.17853797026761992</v>
      </c>
      <c r="F9" s="21">
        <f t="shared" ref="F9:J9" si="2">$G$2*F3</f>
        <v>6.7179465853249826E-2</v>
      </c>
      <c r="G9" s="25">
        <f t="shared" si="2"/>
        <v>1.2638993894584631E-2</v>
      </c>
      <c r="H9" s="21">
        <f t="shared" si="2"/>
        <v>1.5852479587170354E-3</v>
      </c>
      <c r="I9" s="21">
        <f t="shared" si="2"/>
        <v>1.4912249611655776E-4</v>
      </c>
      <c r="J9" s="21">
        <f t="shared" si="2"/>
        <v>1.1222228661832792E-5</v>
      </c>
      <c r="K9" s="21">
        <f>SUM(H9:J9)</f>
        <v>1.7455926834954259E-3</v>
      </c>
    </row>
    <row r="10" spans="2:11" x14ac:dyDescent="0.3">
      <c r="D10">
        <v>3</v>
      </c>
      <c r="E10" s="21">
        <f>$H$2*E3</f>
        <v>9.6825289127964759E-2</v>
      </c>
      <c r="F10" s="21">
        <f t="shared" ref="F10:J10" si="3">$H$2*F3</f>
        <v>3.6432985067282653E-2</v>
      </c>
      <c r="G10" s="21">
        <f t="shared" si="3"/>
        <v>6.8544200222247342E-3</v>
      </c>
      <c r="H10" s="25">
        <f t="shared" si="3"/>
        <v>8.5971679700522837E-4</v>
      </c>
      <c r="I10" s="21">
        <f t="shared" si="3"/>
        <v>8.087259410604025E-5</v>
      </c>
      <c r="J10" s="21">
        <f t="shared" si="3"/>
        <v>6.0860753217555811E-6</v>
      </c>
      <c r="K10" s="21">
        <f>SUM(I10:J10)</f>
        <v>8.6958669427795833E-5</v>
      </c>
    </row>
    <row r="11" spans="2:11" x14ac:dyDescent="0.3">
      <c r="D11">
        <v>4</v>
      </c>
      <c r="E11" s="21">
        <f>$I$2*E3</f>
        <v>3.9382952827882019E-2</v>
      </c>
      <c r="F11" s="21">
        <f t="shared" ref="F11:J11" si="4">$I$2*F3</f>
        <v>1.4818840668654586E-2</v>
      </c>
      <c r="G11" s="21">
        <f t="shared" si="4"/>
        <v>2.7879834166154994E-3</v>
      </c>
      <c r="H11" s="21">
        <f t="shared" si="4"/>
        <v>3.4968329417583868E-4</v>
      </c>
      <c r="I11" s="25">
        <f t="shared" si="4"/>
        <v>3.2894314981464401E-5</v>
      </c>
      <c r="J11" s="21">
        <f t="shared" si="4"/>
        <v>2.4754650304928565E-6</v>
      </c>
      <c r="K11" s="21">
        <f>J11</f>
        <v>2.4754650304928565E-6</v>
      </c>
    </row>
    <row r="12" spans="2:11" x14ac:dyDescent="0.3">
      <c r="D12">
        <v>5</v>
      </c>
      <c r="E12" s="21">
        <f>$J$2*E3</f>
        <v>1.2814974165630218E-2</v>
      </c>
      <c r="F12" s="21">
        <f t="shared" ref="F12:J12" si="5">$J$2*F3</f>
        <v>4.821960942424635E-3</v>
      </c>
      <c r="G12" s="21">
        <f t="shared" si="5"/>
        <v>9.0719290689749202E-4</v>
      </c>
      <c r="H12" s="21">
        <f t="shared" si="5"/>
        <v>1.1378482463212595E-4</v>
      </c>
      <c r="I12" s="21">
        <f t="shared" si="5"/>
        <v>1.0703610735483781E-5</v>
      </c>
      <c r="J12" s="25">
        <f t="shared" si="5"/>
        <v>8.0550131810400905E-7</v>
      </c>
    </row>
    <row r="13" spans="2:11" x14ac:dyDescent="0.3">
      <c r="E13" s="21">
        <f>SUM(E8:E12)</f>
        <v>0.54703419882461402</v>
      </c>
      <c r="F13" s="21">
        <f>SUM(F9:F12)</f>
        <v>0.12325325253161171</v>
      </c>
      <c r="G13" s="21">
        <f>SUM(G10:G12)</f>
        <v>1.0549596345737726E-2</v>
      </c>
      <c r="H13" s="21">
        <f>SUM(H11:H12)</f>
        <v>4.6346811880796463E-4</v>
      </c>
      <c r="I13" s="21">
        <f>I12</f>
        <v>1.0703610735483781E-5</v>
      </c>
    </row>
    <row r="15" spans="2:11" x14ac:dyDescent="0.3">
      <c r="D15" t="s">
        <v>50</v>
      </c>
      <c r="E15" s="21">
        <f>SUM(E13:I13)</f>
        <v>0.68131121943150685</v>
      </c>
      <c r="F15" s="19">
        <f>E15*100</f>
        <v>68.131121943150688</v>
      </c>
      <c r="H15" s="32" t="s">
        <v>70</v>
      </c>
      <c r="I15" s="21">
        <f>+SUM(E7:J12)-E7</f>
        <v>0.85857048430523286</v>
      </c>
    </row>
    <row r="16" spans="2:11" x14ac:dyDescent="0.3">
      <c r="D16" t="s">
        <v>51</v>
      </c>
      <c r="E16" s="21">
        <f>SUM(E7+F8+G9+H10+I11+J12)</f>
        <v>0.23101153430536661</v>
      </c>
      <c r="F16" s="19">
        <f>E16*100</f>
        <v>23.101153430536662</v>
      </c>
      <c r="H16" s="32" t="s">
        <v>71</v>
      </c>
      <c r="I16" s="21">
        <f>+SUM(E7:J12)-E8-F7-E7</f>
        <v>0.58833910809440138</v>
      </c>
    </row>
    <row r="17" spans="4:9" x14ac:dyDescent="0.3">
      <c r="D17" t="s">
        <v>52</v>
      </c>
      <c r="E17" s="21">
        <f>SUM(K7:K11)</f>
        <v>8.1144534635635798E-2</v>
      </c>
      <c r="F17" s="19">
        <f>E17*100</f>
        <v>8.1144534635635797</v>
      </c>
      <c r="H17" s="32" t="s">
        <v>72</v>
      </c>
      <c r="I17" s="21">
        <f>+SUM(E7:J12)-E7-E8-F7-F8-G7-E9</f>
        <v>0.31766925348324015</v>
      </c>
    </row>
    <row r="18" spans="4:9" x14ac:dyDescent="0.3">
      <c r="H18" s="32" t="s">
        <v>73</v>
      </c>
      <c r="I18" s="21">
        <f>+SUM(E7:J12)-E7-E8-E9-E10-F7-G7-H7-F8-F9-G8</f>
        <v>0.13692989049116272</v>
      </c>
    </row>
    <row r="19" spans="4:9" x14ac:dyDescent="0.3">
      <c r="D19" t="s">
        <v>56</v>
      </c>
      <c r="E19" s="21">
        <f>SUM(F8:J12)</f>
        <v>0.24990945067752593</v>
      </c>
      <c r="H19" s="32" t="s">
        <v>74</v>
      </c>
      <c r="I19" s="21">
        <f>+SUM(E7:J12)-E7-E8-E9-E10-F7-G7-H7-I7-F8-F9-F10-G8-G9-H8-E11</f>
        <v>4.6413574825782504E-2</v>
      </c>
    </row>
    <row r="20" spans="4:9" x14ac:dyDescent="0.3">
      <c r="D20" t="s">
        <v>60</v>
      </c>
      <c r="E20" s="21">
        <f>1-E19</f>
        <v>0.7500905493224741</v>
      </c>
      <c r="H20" s="32" t="s">
        <v>75</v>
      </c>
      <c r="I20" s="21">
        <f>+SUM(E7:J12)-E7-E8-E9-E10-E11-E12-F7-F8-F9-F10-F11-G7-G8-G9-G10-H7-H8-H9-I7-I8-J7</f>
        <v>1.0148299720242192E-2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1B85-F9F7-46B0-B252-3B99CB394EDE}">
  <dimension ref="A1:Q23"/>
  <sheetViews>
    <sheetView workbookViewId="0">
      <selection activeCell="A3" sqref="A3:A22"/>
    </sheetView>
  </sheetViews>
  <sheetFormatPr baseColWidth="10" defaultRowHeight="14.4" x14ac:dyDescent="0.3"/>
  <cols>
    <col min="1" max="1" width="17" customWidth="1"/>
    <col min="11" max="11" width="11.88671875" bestFit="1" customWidth="1"/>
    <col min="12" max="12" width="12.109375" bestFit="1" customWidth="1"/>
  </cols>
  <sheetData>
    <row r="1" spans="1:17" ht="15" thickBot="1" x14ac:dyDescent="0.35">
      <c r="A1" s="4"/>
      <c r="B1" s="5" t="s">
        <v>27</v>
      </c>
      <c r="C1" s="6"/>
      <c r="D1" s="7"/>
      <c r="E1" s="8" t="s">
        <v>28</v>
      </c>
      <c r="F1" s="6"/>
      <c r="G1" s="7"/>
      <c r="I1" s="14" t="s">
        <v>33</v>
      </c>
      <c r="J1" s="15"/>
      <c r="K1" s="15"/>
      <c r="L1" s="16"/>
      <c r="N1" s="23" t="s">
        <v>42</v>
      </c>
      <c r="O1" s="23"/>
      <c r="P1" s="23"/>
      <c r="Q1" s="23"/>
    </row>
    <row r="2" spans="1:17" ht="15" thickBot="1" x14ac:dyDescent="0.35">
      <c r="A2" s="9" t="s">
        <v>29</v>
      </c>
      <c r="B2" s="10" t="s">
        <v>30</v>
      </c>
      <c r="C2" s="11" t="s">
        <v>31</v>
      </c>
      <c r="D2" s="9" t="s">
        <v>32</v>
      </c>
      <c r="E2" s="9" t="s">
        <v>30</v>
      </c>
      <c r="F2" s="9" t="s">
        <v>31</v>
      </c>
      <c r="G2" s="10" t="s">
        <v>32</v>
      </c>
      <c r="I2" s="17" t="s">
        <v>34</v>
      </c>
      <c r="J2" s="17" t="s">
        <v>35</v>
      </c>
      <c r="K2" s="17" t="s">
        <v>36</v>
      </c>
      <c r="L2" s="18" t="s">
        <v>37</v>
      </c>
      <c r="N2" s="17" t="s">
        <v>38</v>
      </c>
      <c r="O2" s="17" t="s">
        <v>39</v>
      </c>
      <c r="P2" s="17" t="s">
        <v>40</v>
      </c>
      <c r="Q2" s="18" t="s">
        <v>41</v>
      </c>
    </row>
    <row r="3" spans="1:17" x14ac:dyDescent="0.3">
      <c r="A3" s="13" t="s">
        <v>2</v>
      </c>
      <c r="B3">
        <f>_xlfn.XLOOKUP(Estadistica!A3,Tabla_6__2[Equipo],Tabla_6__2[JJ])</f>
        <v>10</v>
      </c>
      <c r="C3">
        <f>_xlfn.XLOOKUP(A3,Tabla_6__2[Equipo],Tabla_6__2[Goles Marcados])</f>
        <v>17</v>
      </c>
      <c r="D3">
        <f>_xlfn.XLOOKUP(A3,Tabla_9[Equipo],Tabla_9[Goles Sufridos])</f>
        <v>6</v>
      </c>
      <c r="E3">
        <f>_xlfn.XLOOKUP(A3,Tabla_7__2[Equipo],Tabla_7__2[JJ])</f>
        <v>8</v>
      </c>
      <c r="F3">
        <f>_xlfn.XLOOKUP(A3,Tabla_7__2[Equipo],Tabla_7__2[Goles Marcados])</f>
        <v>7</v>
      </c>
      <c r="G3">
        <f>_xlfn.XLOOKUP(A3,Tabla_10[Equipo],Tabla_10[Goles Sufridos])</f>
        <v>12</v>
      </c>
      <c r="I3" s="22">
        <f>C3/B3</f>
        <v>1.7</v>
      </c>
      <c r="J3" s="22">
        <f>D3/B3</f>
        <v>0.6</v>
      </c>
      <c r="K3" s="22">
        <f>F3/E3</f>
        <v>0.875</v>
      </c>
      <c r="L3" s="22">
        <f>G3/E3</f>
        <v>1.5</v>
      </c>
      <c r="N3" s="22">
        <f>I3/$I$23</f>
        <v>1.0941818181818181</v>
      </c>
      <c r="O3" s="22">
        <f>J3/$J$23</f>
        <v>0.5418367346938775</v>
      </c>
      <c r="P3" s="20">
        <f>K3/$K$23</f>
        <v>0.7901785714285714</v>
      </c>
      <c r="Q3" s="22">
        <f>L3/$L$23</f>
        <v>0.96545454545454545</v>
      </c>
    </row>
    <row r="4" spans="1:17" x14ac:dyDescent="0.3">
      <c r="A4" s="12" t="s">
        <v>13</v>
      </c>
      <c r="B4">
        <f>_xlfn.XLOOKUP(Estadistica!A4,Tabla_6__2[Equipo],Tabla_6__2[JJ])</f>
        <v>8</v>
      </c>
      <c r="C4">
        <f>_xlfn.XLOOKUP(A4,Tabla_6__2[Equipo],Tabla_6__2[Goles Marcados])</f>
        <v>13</v>
      </c>
      <c r="D4">
        <f>_xlfn.XLOOKUP(A4,Tabla_9[Equipo],Tabla_9[Goles Sufridos])</f>
        <v>12</v>
      </c>
      <c r="E4">
        <f>_xlfn.XLOOKUP(A4,Tabla_7__2[Equipo],Tabla_7__2[JJ])</f>
        <v>10</v>
      </c>
      <c r="F4">
        <f>_xlfn.XLOOKUP(A4,Tabla_7__2[Equipo],Tabla_7__2[Goles Marcados])</f>
        <v>9</v>
      </c>
      <c r="G4">
        <f>_xlfn.XLOOKUP(A4,Tabla_10[Equipo],Tabla_10[Goles Sufridos])</f>
        <v>11</v>
      </c>
      <c r="I4" s="22">
        <f t="shared" ref="I4:I23" si="0">C4/B4</f>
        <v>1.625</v>
      </c>
      <c r="J4" s="22">
        <f t="shared" ref="J4:J23" si="1">D4/B4</f>
        <v>1.5</v>
      </c>
      <c r="K4" s="22">
        <f t="shared" ref="K4:K22" si="2">F4/E4</f>
        <v>0.9</v>
      </c>
      <c r="L4" s="22">
        <f t="shared" ref="L4:L22" si="3">G4/E4</f>
        <v>1.1000000000000001</v>
      </c>
      <c r="N4" s="22">
        <f t="shared" ref="N4:N22" si="4">I4/$I$23</f>
        <v>1.0459090909090909</v>
      </c>
      <c r="O4" s="22">
        <f t="shared" ref="O4:O22" si="5">J4/$J$23</f>
        <v>1.3545918367346939</v>
      </c>
      <c r="P4" s="20">
        <f t="shared" ref="P4:P22" si="6">K4/$K$23</f>
        <v>0.81275510204081636</v>
      </c>
      <c r="Q4" s="22">
        <f t="shared" ref="Q4:Q22" si="7">L4/$L$23</f>
        <v>0.70800000000000007</v>
      </c>
    </row>
    <row r="5" spans="1:17" x14ac:dyDescent="0.3">
      <c r="A5" s="13" t="s">
        <v>12</v>
      </c>
      <c r="B5">
        <f>_xlfn.XLOOKUP(Estadistica!A5,Tabla_6__2[Equipo],Tabla_6__2[JJ])</f>
        <v>9</v>
      </c>
      <c r="C5">
        <f>_xlfn.XLOOKUP(A5,Tabla_6__2[Equipo],Tabla_6__2[Goles Marcados])</f>
        <v>14</v>
      </c>
      <c r="D5">
        <f>_xlfn.XLOOKUP(A5,Tabla_9[Equipo],Tabla_9[Goles Sufridos])</f>
        <v>10</v>
      </c>
      <c r="E5">
        <f>_xlfn.XLOOKUP(A5,Tabla_7__2[Equipo],Tabla_7__2[JJ])</f>
        <v>8</v>
      </c>
      <c r="F5">
        <f>_xlfn.XLOOKUP(A5,Tabla_7__2[Equipo],Tabla_7__2[Goles Marcados])</f>
        <v>11</v>
      </c>
      <c r="G5">
        <f>_xlfn.XLOOKUP(A5,Tabla_10[Equipo],Tabla_10[Goles Sufridos])</f>
        <v>13</v>
      </c>
      <c r="I5" s="22">
        <f t="shared" si="0"/>
        <v>1.5555555555555556</v>
      </c>
      <c r="J5" s="22">
        <f t="shared" si="1"/>
        <v>1.1111111111111112</v>
      </c>
      <c r="K5" s="22">
        <f t="shared" si="2"/>
        <v>1.375</v>
      </c>
      <c r="L5" s="22">
        <f t="shared" si="3"/>
        <v>1.625</v>
      </c>
      <c r="N5" s="22">
        <f t="shared" si="4"/>
        <v>1.0012121212121212</v>
      </c>
      <c r="O5" s="22">
        <f t="shared" si="5"/>
        <v>1.0034013605442178</v>
      </c>
      <c r="P5" s="20">
        <f t="shared" si="6"/>
        <v>1.2417091836734693</v>
      </c>
      <c r="Q5" s="22">
        <f t="shared" si="7"/>
        <v>1.0459090909090909</v>
      </c>
    </row>
    <row r="6" spans="1:17" x14ac:dyDescent="0.3">
      <c r="A6" s="13" t="s">
        <v>8</v>
      </c>
      <c r="B6">
        <f>_xlfn.XLOOKUP(Estadistica!A6,Tabla_6__2[Equipo],Tabla_6__2[JJ])</f>
        <v>7</v>
      </c>
      <c r="C6">
        <f>_xlfn.XLOOKUP(A6,Tabla_6__2[Equipo],Tabla_6__2[Goles Marcados])</f>
        <v>15</v>
      </c>
      <c r="D6">
        <f>_xlfn.XLOOKUP(A6,Tabla_9[Equipo],Tabla_9[Goles Sufridos])</f>
        <v>12</v>
      </c>
      <c r="E6">
        <f>_xlfn.XLOOKUP(A6,Tabla_7__2[Equipo],Tabla_7__2[JJ])</f>
        <v>10</v>
      </c>
      <c r="F6">
        <f>_xlfn.XLOOKUP(A6,Tabla_7__2[Equipo],Tabla_7__2[Goles Marcados])</f>
        <v>16</v>
      </c>
      <c r="G6">
        <f>_xlfn.XLOOKUP(A6,Tabla_10[Equipo],Tabla_10[Goles Sufridos])</f>
        <v>19</v>
      </c>
      <c r="I6" s="22">
        <f t="shared" si="0"/>
        <v>2.1428571428571428</v>
      </c>
      <c r="J6" s="22">
        <f t="shared" si="1"/>
        <v>1.7142857142857142</v>
      </c>
      <c r="K6" s="22">
        <f t="shared" si="2"/>
        <v>1.6</v>
      </c>
      <c r="L6" s="22">
        <f t="shared" si="3"/>
        <v>1.9</v>
      </c>
      <c r="N6" s="22">
        <f t="shared" si="4"/>
        <v>1.3792207792207791</v>
      </c>
      <c r="O6" s="22">
        <f t="shared" si="5"/>
        <v>1.5481049562682214</v>
      </c>
      <c r="P6" s="20">
        <f t="shared" si="6"/>
        <v>1.4448979591836735</v>
      </c>
      <c r="Q6" s="22">
        <f t="shared" si="7"/>
        <v>1.2229090909090909</v>
      </c>
    </row>
    <row r="7" spans="1:17" x14ac:dyDescent="0.3">
      <c r="A7" s="13" t="s">
        <v>6</v>
      </c>
      <c r="B7">
        <f>_xlfn.XLOOKUP(Estadistica!A7,Tabla_6__2[Equipo],Tabla_6__2[JJ])</f>
        <v>9</v>
      </c>
      <c r="C7">
        <f>_xlfn.XLOOKUP(A7,Tabla_6__2[Equipo],Tabla_6__2[Goles Marcados])</f>
        <v>16</v>
      </c>
      <c r="D7">
        <f>_xlfn.XLOOKUP(A7,Tabla_9[Equipo],Tabla_9[Goles Sufridos])</f>
        <v>9</v>
      </c>
      <c r="E7">
        <f>_xlfn.XLOOKUP(A7,Tabla_7__2[Equipo],Tabla_7__2[JJ])</f>
        <v>9</v>
      </c>
      <c r="F7">
        <f>_xlfn.XLOOKUP(A7,Tabla_7__2[Equipo],Tabla_7__2[Goles Marcados])</f>
        <v>9</v>
      </c>
      <c r="G7">
        <f>_xlfn.XLOOKUP(A7,Tabla_10[Equipo],Tabla_10[Goles Sufridos])</f>
        <v>10</v>
      </c>
      <c r="I7" s="22">
        <f t="shared" si="0"/>
        <v>1.7777777777777777</v>
      </c>
      <c r="J7" s="22">
        <f t="shared" si="1"/>
        <v>1</v>
      </c>
      <c r="K7" s="22">
        <f t="shared" si="2"/>
        <v>1</v>
      </c>
      <c r="L7" s="22">
        <f t="shared" si="3"/>
        <v>1.1111111111111112</v>
      </c>
      <c r="N7" s="22">
        <f t="shared" si="4"/>
        <v>1.1442424242424243</v>
      </c>
      <c r="O7" s="22">
        <f t="shared" si="5"/>
        <v>0.90306122448979587</v>
      </c>
      <c r="P7" s="20">
        <f t="shared" si="6"/>
        <v>0.90306122448979587</v>
      </c>
      <c r="Q7" s="22">
        <f t="shared" si="7"/>
        <v>0.7151515151515152</v>
      </c>
    </row>
    <row r="8" spans="1:17" x14ac:dyDescent="0.3">
      <c r="A8" s="13" t="s">
        <v>14</v>
      </c>
      <c r="B8">
        <f>_xlfn.XLOOKUP(Estadistica!A8,Tabla_6__2[Equipo],Tabla_6__2[JJ])</f>
        <v>9</v>
      </c>
      <c r="C8">
        <f>_xlfn.XLOOKUP(A8,Tabla_6__2[Equipo],Tabla_6__2[Goles Marcados])</f>
        <v>13</v>
      </c>
      <c r="D8">
        <f>_xlfn.XLOOKUP(A8,Tabla_9[Equipo],Tabla_9[Goles Sufridos])</f>
        <v>20</v>
      </c>
      <c r="E8">
        <f>_xlfn.XLOOKUP(A8,Tabla_7__2[Equipo],Tabla_7__2[JJ])</f>
        <v>8</v>
      </c>
      <c r="F8">
        <f>_xlfn.XLOOKUP(A8,Tabla_7__2[Equipo],Tabla_7__2[Goles Marcados])</f>
        <v>4</v>
      </c>
      <c r="G8">
        <f>_xlfn.XLOOKUP(A8,Tabla_10[Equipo],Tabla_10[Goles Sufridos])</f>
        <v>13</v>
      </c>
      <c r="I8" s="22">
        <f t="shared" si="0"/>
        <v>1.4444444444444444</v>
      </c>
      <c r="J8" s="22">
        <f t="shared" si="1"/>
        <v>2.2222222222222223</v>
      </c>
      <c r="K8" s="22">
        <f t="shared" si="2"/>
        <v>0.5</v>
      </c>
      <c r="L8" s="22">
        <f t="shared" si="3"/>
        <v>1.625</v>
      </c>
      <c r="N8" s="22">
        <f t="shared" si="4"/>
        <v>0.92969696969696969</v>
      </c>
      <c r="O8" s="22">
        <f t="shared" si="5"/>
        <v>2.0068027210884356</v>
      </c>
      <c r="P8" s="20">
        <f t="shared" si="6"/>
        <v>0.45153061224489793</v>
      </c>
      <c r="Q8" s="22">
        <f t="shared" si="7"/>
        <v>1.0459090909090909</v>
      </c>
    </row>
    <row r="9" spans="1:17" x14ac:dyDescent="0.3">
      <c r="A9" s="13" t="s">
        <v>20</v>
      </c>
      <c r="B9">
        <f>_xlfn.XLOOKUP(Estadistica!A9,Tabla_6__2[Equipo],Tabla_6__2[JJ])</f>
        <v>9</v>
      </c>
      <c r="C9">
        <f>_xlfn.XLOOKUP(A9,Tabla_6__2[Equipo],Tabla_6__2[Goles Marcados])</f>
        <v>9</v>
      </c>
      <c r="D9">
        <f>_xlfn.XLOOKUP(A9,Tabla_9[Equipo],Tabla_9[Goles Sufridos])</f>
        <v>8</v>
      </c>
      <c r="E9">
        <f>_xlfn.XLOOKUP(A9,Tabla_7__2[Equipo],Tabla_7__2[JJ])</f>
        <v>9</v>
      </c>
      <c r="F9">
        <f>_xlfn.XLOOKUP(A9,Tabla_7__2[Equipo],Tabla_7__2[Goles Marcados])</f>
        <v>9</v>
      </c>
      <c r="G9">
        <f>_xlfn.XLOOKUP(A9,Tabla_10[Equipo],Tabla_10[Goles Sufridos])</f>
        <v>11</v>
      </c>
      <c r="I9" s="22">
        <f t="shared" si="0"/>
        <v>1</v>
      </c>
      <c r="J9" s="22">
        <f t="shared" si="1"/>
        <v>0.88888888888888884</v>
      </c>
      <c r="K9" s="22">
        <f t="shared" si="2"/>
        <v>1</v>
      </c>
      <c r="L9" s="22">
        <f t="shared" si="3"/>
        <v>1.2222222222222223</v>
      </c>
      <c r="N9" s="22">
        <f t="shared" si="4"/>
        <v>0.64363636363636367</v>
      </c>
      <c r="O9" s="22">
        <f t="shared" si="5"/>
        <v>0.80272108843537415</v>
      </c>
      <c r="P9" s="20">
        <f t="shared" si="6"/>
        <v>0.90306122448979587</v>
      </c>
      <c r="Q9" s="22">
        <f t="shared" si="7"/>
        <v>0.78666666666666674</v>
      </c>
    </row>
    <row r="10" spans="1:17" x14ac:dyDescent="0.3">
      <c r="A10" s="12" t="s">
        <v>19</v>
      </c>
      <c r="B10">
        <f>_xlfn.XLOOKUP(Estadistica!A10,Tabla_6__2[Equipo],Tabla_6__2[JJ])</f>
        <v>8</v>
      </c>
      <c r="C10">
        <f>_xlfn.XLOOKUP(A10,Tabla_6__2[Equipo],Tabla_6__2[Goles Marcados])</f>
        <v>10</v>
      </c>
      <c r="D10">
        <f>_xlfn.XLOOKUP(A10,Tabla_9[Equipo],Tabla_9[Goles Sufridos])</f>
        <v>8</v>
      </c>
      <c r="E10">
        <f>_xlfn.XLOOKUP(A10,Tabla_7__2[Equipo],Tabla_7__2[JJ])</f>
        <v>10</v>
      </c>
      <c r="F10">
        <f>_xlfn.XLOOKUP(A10,Tabla_7__2[Equipo],Tabla_7__2[Goles Marcados])</f>
        <v>14</v>
      </c>
      <c r="G10">
        <f>_xlfn.XLOOKUP(A10,Tabla_10[Equipo],Tabla_10[Goles Sufridos])</f>
        <v>16</v>
      </c>
      <c r="I10" s="22">
        <f t="shared" si="0"/>
        <v>1.25</v>
      </c>
      <c r="J10" s="22">
        <f t="shared" si="1"/>
        <v>1</v>
      </c>
      <c r="K10" s="22">
        <f t="shared" si="2"/>
        <v>1.4</v>
      </c>
      <c r="L10" s="22">
        <f t="shared" si="3"/>
        <v>1.6</v>
      </c>
      <c r="N10" s="22">
        <f t="shared" si="4"/>
        <v>0.80454545454545456</v>
      </c>
      <c r="O10" s="22">
        <f t="shared" si="5"/>
        <v>0.90306122448979587</v>
      </c>
      <c r="P10" s="20">
        <f t="shared" si="6"/>
        <v>1.2642857142857142</v>
      </c>
      <c r="Q10" s="22">
        <f t="shared" si="7"/>
        <v>1.029818181818182</v>
      </c>
    </row>
    <row r="11" spans="1:17" x14ac:dyDescent="0.3">
      <c r="A11" s="13" t="s">
        <v>4</v>
      </c>
      <c r="B11">
        <f>_xlfn.XLOOKUP(Estadistica!A11,Tabla_6__2[Equipo],Tabla_6__2[JJ])</f>
        <v>10</v>
      </c>
      <c r="C11">
        <f>_xlfn.XLOOKUP(A11,Tabla_6__2[Equipo],Tabla_6__2[Goles Marcados])</f>
        <v>16</v>
      </c>
      <c r="D11">
        <f>_xlfn.XLOOKUP(A11,Tabla_9[Equipo],Tabla_9[Goles Sufridos])</f>
        <v>12</v>
      </c>
      <c r="E11">
        <f>_xlfn.XLOOKUP(A11,Tabla_7__2[Equipo],Tabla_7__2[JJ])</f>
        <v>8</v>
      </c>
      <c r="F11">
        <f>_xlfn.XLOOKUP(A11,Tabla_7__2[Equipo],Tabla_7__2[Goles Marcados])</f>
        <v>8</v>
      </c>
      <c r="G11">
        <f>_xlfn.XLOOKUP(A11,Tabla_10[Equipo],Tabla_10[Goles Sufridos])</f>
        <v>16</v>
      </c>
      <c r="I11" s="22">
        <f t="shared" si="0"/>
        <v>1.6</v>
      </c>
      <c r="J11" s="22">
        <f t="shared" si="1"/>
        <v>1.2</v>
      </c>
      <c r="K11" s="22">
        <f t="shared" si="2"/>
        <v>1</v>
      </c>
      <c r="L11" s="22">
        <f t="shared" si="3"/>
        <v>2</v>
      </c>
      <c r="N11" s="22">
        <f t="shared" si="4"/>
        <v>1.029818181818182</v>
      </c>
      <c r="O11" s="22">
        <f t="shared" si="5"/>
        <v>1.083673469387755</v>
      </c>
      <c r="P11" s="20">
        <f t="shared" si="6"/>
        <v>0.90306122448979587</v>
      </c>
      <c r="Q11" s="22">
        <f t="shared" si="7"/>
        <v>1.2872727272727273</v>
      </c>
    </row>
    <row r="12" spans="1:17" x14ac:dyDescent="0.3">
      <c r="A12" s="12" t="s">
        <v>3</v>
      </c>
      <c r="B12">
        <f>_xlfn.XLOOKUP(Estadistica!A12,Tabla_6__2[Equipo],Tabla_6__2[JJ])</f>
        <v>8</v>
      </c>
      <c r="C12">
        <f>_xlfn.XLOOKUP(A12,Tabla_6__2[Equipo],Tabla_6__2[Goles Marcados])</f>
        <v>16</v>
      </c>
      <c r="D12">
        <f>_xlfn.XLOOKUP(A12,Tabla_9[Equipo],Tabla_9[Goles Sufridos])</f>
        <v>7</v>
      </c>
      <c r="E12">
        <f>_xlfn.XLOOKUP(A12,Tabla_7__2[Equipo],Tabla_7__2[JJ])</f>
        <v>9</v>
      </c>
      <c r="F12">
        <f>_xlfn.XLOOKUP(A12,Tabla_7__2[Equipo],Tabla_7__2[Goles Marcados])</f>
        <v>15</v>
      </c>
      <c r="G12">
        <f>_xlfn.XLOOKUP(A12,Tabla_10[Equipo],Tabla_10[Goles Sufridos])</f>
        <v>9</v>
      </c>
      <c r="I12" s="22">
        <f t="shared" si="0"/>
        <v>2</v>
      </c>
      <c r="J12" s="22">
        <f t="shared" si="1"/>
        <v>0.875</v>
      </c>
      <c r="K12" s="22">
        <f t="shared" si="2"/>
        <v>1.6666666666666667</v>
      </c>
      <c r="L12" s="22">
        <f t="shared" si="3"/>
        <v>1</v>
      </c>
      <c r="N12" s="22">
        <f t="shared" si="4"/>
        <v>1.2872727272727273</v>
      </c>
      <c r="O12" s="22">
        <f t="shared" si="5"/>
        <v>0.7901785714285714</v>
      </c>
      <c r="P12" s="20">
        <f t="shared" si="6"/>
        <v>1.5051020408163265</v>
      </c>
      <c r="Q12" s="22">
        <f t="shared" si="7"/>
        <v>0.64363636363636367</v>
      </c>
    </row>
    <row r="13" spans="1:17" x14ac:dyDescent="0.3">
      <c r="A13" s="12" t="s">
        <v>1</v>
      </c>
      <c r="B13">
        <f>_xlfn.XLOOKUP(Estadistica!A13,Tabla_6__2[Equipo],Tabla_6__2[JJ])</f>
        <v>9</v>
      </c>
      <c r="C13">
        <f>_xlfn.XLOOKUP(A13,Tabla_6__2[Equipo],Tabla_6__2[Goles Marcados])</f>
        <v>17</v>
      </c>
      <c r="D13">
        <f>_xlfn.XLOOKUP(A13,Tabla_9[Equipo],Tabla_9[Goles Sufridos])</f>
        <v>10</v>
      </c>
      <c r="E13">
        <f>_xlfn.XLOOKUP(A13,Tabla_7__2[Equipo],Tabla_7__2[JJ])</f>
        <v>9</v>
      </c>
      <c r="F13">
        <f>_xlfn.XLOOKUP(A13,Tabla_7__2[Equipo],Tabla_7__2[Goles Marcados])</f>
        <v>11</v>
      </c>
      <c r="G13">
        <f>_xlfn.XLOOKUP(A13,Tabla_10[Equipo],Tabla_10[Goles Sufridos])</f>
        <v>13</v>
      </c>
      <c r="I13" s="22">
        <f t="shared" si="0"/>
        <v>1.8888888888888888</v>
      </c>
      <c r="J13" s="22">
        <f t="shared" si="1"/>
        <v>1.1111111111111112</v>
      </c>
      <c r="K13" s="22">
        <f t="shared" si="2"/>
        <v>1.2222222222222223</v>
      </c>
      <c r="L13" s="22">
        <f t="shared" si="3"/>
        <v>1.4444444444444444</v>
      </c>
      <c r="N13" s="22">
        <f t="shared" si="4"/>
        <v>1.2157575757575758</v>
      </c>
      <c r="O13" s="22">
        <f t="shared" si="5"/>
        <v>1.0034013605442178</v>
      </c>
      <c r="P13" s="20">
        <f t="shared" si="6"/>
        <v>1.1037414965986396</v>
      </c>
      <c r="Q13" s="22">
        <f t="shared" si="7"/>
        <v>0.92969696969696969</v>
      </c>
    </row>
    <row r="14" spans="1:17" x14ac:dyDescent="0.3">
      <c r="A14" s="12" t="s">
        <v>9</v>
      </c>
      <c r="B14">
        <f>_xlfn.XLOOKUP(Estadistica!A14,Tabla_6__2[Equipo],Tabla_6__2[JJ])</f>
        <v>9</v>
      </c>
      <c r="C14">
        <f>_xlfn.XLOOKUP(A14,Tabla_6__2[Equipo],Tabla_6__2[Goles Marcados])</f>
        <v>15</v>
      </c>
      <c r="D14">
        <f>_xlfn.XLOOKUP(A14,Tabla_9[Equipo],Tabla_9[Goles Sufridos])</f>
        <v>11</v>
      </c>
      <c r="E14">
        <f>_xlfn.XLOOKUP(A14,Tabla_7__2[Equipo],Tabla_7__2[JJ])</f>
        <v>9</v>
      </c>
      <c r="F14">
        <f>_xlfn.XLOOKUP(A14,Tabla_7__2[Equipo],Tabla_7__2[Goles Marcados])</f>
        <v>5</v>
      </c>
      <c r="G14">
        <f>_xlfn.XLOOKUP(A14,Tabla_10[Equipo],Tabla_10[Goles Sufridos])</f>
        <v>12</v>
      </c>
      <c r="I14" s="22">
        <f t="shared" si="0"/>
        <v>1.6666666666666667</v>
      </c>
      <c r="J14" s="22">
        <f t="shared" si="1"/>
        <v>1.2222222222222223</v>
      </c>
      <c r="K14" s="22">
        <f t="shared" si="2"/>
        <v>0.55555555555555558</v>
      </c>
      <c r="L14" s="22">
        <f t="shared" si="3"/>
        <v>1.3333333333333333</v>
      </c>
      <c r="N14" s="22">
        <f t="shared" si="4"/>
        <v>1.0727272727272728</v>
      </c>
      <c r="O14" s="22">
        <f t="shared" si="5"/>
        <v>1.1037414965986396</v>
      </c>
      <c r="P14" s="20">
        <f t="shared" si="6"/>
        <v>0.5017006802721089</v>
      </c>
      <c r="Q14" s="22">
        <f t="shared" si="7"/>
        <v>0.85818181818181816</v>
      </c>
    </row>
    <row r="15" spans="1:17" x14ac:dyDescent="0.3">
      <c r="A15" s="13" t="s">
        <v>16</v>
      </c>
      <c r="B15">
        <f>_xlfn.XLOOKUP(Estadistica!A15,Tabla_6__2[Equipo],Tabla_6__2[JJ])</f>
        <v>9</v>
      </c>
      <c r="C15">
        <f>_xlfn.XLOOKUP(A15,Tabla_6__2[Equipo],Tabla_6__2[Goles Marcados])</f>
        <v>11</v>
      </c>
      <c r="D15">
        <f>_xlfn.XLOOKUP(A15,Tabla_9[Equipo],Tabla_9[Goles Sufridos])</f>
        <v>9</v>
      </c>
      <c r="E15">
        <f>_xlfn.XLOOKUP(A15,Tabla_7__2[Equipo],Tabla_7__2[JJ])</f>
        <v>9</v>
      </c>
      <c r="F15">
        <f>_xlfn.XLOOKUP(A15,Tabla_7__2[Equipo],Tabla_7__2[Goles Marcados])</f>
        <v>10</v>
      </c>
      <c r="G15">
        <f>_xlfn.XLOOKUP(A15,Tabla_10[Equipo],Tabla_10[Goles Sufridos])</f>
        <v>13</v>
      </c>
      <c r="I15" s="22">
        <f t="shared" si="0"/>
        <v>1.2222222222222223</v>
      </c>
      <c r="J15" s="22">
        <f t="shared" si="1"/>
        <v>1</v>
      </c>
      <c r="K15" s="22">
        <f t="shared" si="2"/>
        <v>1.1111111111111112</v>
      </c>
      <c r="L15" s="22">
        <f t="shared" si="3"/>
        <v>1.4444444444444444</v>
      </c>
      <c r="N15" s="22">
        <f t="shared" si="4"/>
        <v>0.78666666666666674</v>
      </c>
      <c r="O15" s="22">
        <f t="shared" si="5"/>
        <v>0.90306122448979587</v>
      </c>
      <c r="P15" s="20">
        <f t="shared" si="6"/>
        <v>1.0034013605442178</v>
      </c>
      <c r="Q15" s="22">
        <f t="shared" si="7"/>
        <v>0.92969696969696969</v>
      </c>
    </row>
    <row r="16" spans="1:17" x14ac:dyDescent="0.3">
      <c r="A16" s="13" t="s">
        <v>18</v>
      </c>
      <c r="B16">
        <f>_xlfn.XLOOKUP(Estadistica!A16,Tabla_6__2[Equipo],Tabla_6__2[JJ])</f>
        <v>9</v>
      </c>
      <c r="C16">
        <f>_xlfn.XLOOKUP(A16,Tabla_6__2[Equipo],Tabla_6__2[Goles Marcados])</f>
        <v>11</v>
      </c>
      <c r="D16">
        <f>_xlfn.XLOOKUP(A16,Tabla_9[Equipo],Tabla_9[Goles Sufridos])</f>
        <v>11</v>
      </c>
      <c r="E16">
        <f>_xlfn.XLOOKUP(A16,Tabla_7__2[Equipo],Tabla_7__2[JJ])</f>
        <v>8</v>
      </c>
      <c r="F16">
        <f>_xlfn.XLOOKUP(A16,Tabla_7__2[Equipo],Tabla_7__2[Goles Marcados])</f>
        <v>7</v>
      </c>
      <c r="G16">
        <f>_xlfn.XLOOKUP(A16,Tabla_10[Equipo],Tabla_10[Goles Sufridos])</f>
        <v>13</v>
      </c>
      <c r="I16" s="22">
        <f t="shared" si="0"/>
        <v>1.2222222222222223</v>
      </c>
      <c r="J16" s="22">
        <f t="shared" si="1"/>
        <v>1.2222222222222223</v>
      </c>
      <c r="K16" s="22">
        <f t="shared" si="2"/>
        <v>0.875</v>
      </c>
      <c r="L16" s="22">
        <f t="shared" si="3"/>
        <v>1.625</v>
      </c>
      <c r="N16" s="22">
        <f t="shared" si="4"/>
        <v>0.78666666666666674</v>
      </c>
      <c r="O16" s="22">
        <f t="shared" si="5"/>
        <v>1.1037414965986396</v>
      </c>
      <c r="P16" s="20">
        <f t="shared" si="6"/>
        <v>0.7901785714285714</v>
      </c>
      <c r="Q16" s="22">
        <f t="shared" si="7"/>
        <v>1.0459090909090909</v>
      </c>
    </row>
    <row r="17" spans="1:17" x14ac:dyDescent="0.3">
      <c r="A17" s="12" t="s">
        <v>5</v>
      </c>
      <c r="B17">
        <f>_xlfn.XLOOKUP(Estadistica!A17,Tabla_6__2[Equipo],Tabla_6__2[JJ])</f>
        <v>9</v>
      </c>
      <c r="C17">
        <f>_xlfn.XLOOKUP(A17,Tabla_6__2[Equipo],Tabla_6__2[Goles Marcados])</f>
        <v>16</v>
      </c>
      <c r="D17">
        <f>_xlfn.XLOOKUP(A17,Tabla_9[Equipo],Tabla_9[Goles Sufridos])</f>
        <v>6</v>
      </c>
      <c r="E17">
        <f>_xlfn.XLOOKUP(A17,Tabla_7__2[Equipo],Tabla_7__2[JJ])</f>
        <v>9</v>
      </c>
      <c r="F17">
        <f>_xlfn.XLOOKUP(A17,Tabla_7__2[Equipo],Tabla_7__2[Goles Marcados])</f>
        <v>14</v>
      </c>
      <c r="G17">
        <f>_xlfn.XLOOKUP(A17,Tabla_10[Equipo],Tabla_10[Goles Sufridos])</f>
        <v>7</v>
      </c>
      <c r="I17" s="22">
        <f t="shared" si="0"/>
        <v>1.7777777777777777</v>
      </c>
      <c r="J17" s="22">
        <f t="shared" si="1"/>
        <v>0.66666666666666663</v>
      </c>
      <c r="K17" s="22">
        <f t="shared" si="2"/>
        <v>1.5555555555555556</v>
      </c>
      <c r="L17" s="22">
        <f t="shared" si="3"/>
        <v>0.77777777777777779</v>
      </c>
      <c r="N17" s="22">
        <f t="shared" si="4"/>
        <v>1.1442424242424243</v>
      </c>
      <c r="O17" s="22">
        <f t="shared" si="5"/>
        <v>0.60204081632653061</v>
      </c>
      <c r="P17" s="20">
        <f t="shared" si="6"/>
        <v>1.4047619047619049</v>
      </c>
      <c r="Q17" s="22">
        <f t="shared" si="7"/>
        <v>0.50060606060606061</v>
      </c>
    </row>
    <row r="18" spans="1:17" x14ac:dyDescent="0.3">
      <c r="A18" s="12" t="s">
        <v>17</v>
      </c>
      <c r="B18">
        <f>_xlfn.XLOOKUP(Estadistica!A18,Tabla_6__2[Equipo],Tabla_6__2[JJ])</f>
        <v>9</v>
      </c>
      <c r="C18">
        <f>_xlfn.XLOOKUP(A18,Tabla_6__2[Equipo],Tabla_6__2[Goles Marcados])</f>
        <v>11</v>
      </c>
      <c r="D18">
        <f>_xlfn.XLOOKUP(A18,Tabla_9[Equipo],Tabla_9[Goles Sufridos])</f>
        <v>11</v>
      </c>
      <c r="E18">
        <f>_xlfn.XLOOKUP(A18,Tabla_7__2[Equipo],Tabla_7__2[JJ])</f>
        <v>9</v>
      </c>
      <c r="F18">
        <f>_xlfn.XLOOKUP(A18,Tabla_7__2[Equipo],Tabla_7__2[Goles Marcados])</f>
        <v>10</v>
      </c>
      <c r="G18">
        <f>_xlfn.XLOOKUP(A18,Tabla_10[Equipo],Tabla_10[Goles Sufridos])</f>
        <v>18</v>
      </c>
      <c r="I18" s="22">
        <f t="shared" si="0"/>
        <v>1.2222222222222223</v>
      </c>
      <c r="J18" s="22">
        <f t="shared" si="1"/>
        <v>1.2222222222222223</v>
      </c>
      <c r="K18" s="22">
        <f t="shared" si="2"/>
        <v>1.1111111111111112</v>
      </c>
      <c r="L18" s="22">
        <f t="shared" si="3"/>
        <v>2</v>
      </c>
      <c r="N18" s="22">
        <f t="shared" si="4"/>
        <v>0.78666666666666674</v>
      </c>
      <c r="O18" s="22">
        <f t="shared" si="5"/>
        <v>1.1037414965986396</v>
      </c>
      <c r="P18" s="20">
        <f t="shared" si="6"/>
        <v>1.0034013605442178</v>
      </c>
      <c r="Q18" s="22">
        <f t="shared" si="7"/>
        <v>1.2872727272727273</v>
      </c>
    </row>
    <row r="19" spans="1:17" x14ac:dyDescent="0.3">
      <c r="A19" s="12" t="s">
        <v>7</v>
      </c>
      <c r="B19">
        <f>_xlfn.XLOOKUP(Estadistica!A19,Tabla_6__2[Equipo],Tabla_6__2[JJ])</f>
        <v>10</v>
      </c>
      <c r="C19">
        <f>_xlfn.XLOOKUP(A19,Tabla_6__2[Equipo],Tabla_6__2[Goles Marcados])</f>
        <v>15</v>
      </c>
      <c r="D19">
        <f>_xlfn.XLOOKUP(A19,Tabla_9[Equipo],Tabla_9[Goles Sufridos])</f>
        <v>12</v>
      </c>
      <c r="E19">
        <f>_xlfn.XLOOKUP(A19,Tabla_7__2[Equipo],Tabla_7__2[JJ])</f>
        <v>8</v>
      </c>
      <c r="F19">
        <f>_xlfn.XLOOKUP(A19,Tabla_7__2[Equipo],Tabla_7__2[Goles Marcados])</f>
        <v>11</v>
      </c>
      <c r="G19">
        <f>_xlfn.XLOOKUP(A19,Tabla_10[Equipo],Tabla_10[Goles Sufridos])</f>
        <v>17</v>
      </c>
      <c r="I19" s="22">
        <f t="shared" si="0"/>
        <v>1.5</v>
      </c>
      <c r="J19" s="22">
        <f t="shared" si="1"/>
        <v>1.2</v>
      </c>
      <c r="K19" s="22">
        <f t="shared" si="2"/>
        <v>1.375</v>
      </c>
      <c r="L19" s="22">
        <f t="shared" si="3"/>
        <v>2.125</v>
      </c>
      <c r="N19" s="22">
        <f t="shared" si="4"/>
        <v>0.96545454545454545</v>
      </c>
      <c r="O19" s="22">
        <f t="shared" si="5"/>
        <v>1.083673469387755</v>
      </c>
      <c r="P19" s="20">
        <f t="shared" si="6"/>
        <v>1.2417091836734693</v>
      </c>
      <c r="Q19" s="22">
        <f t="shared" si="7"/>
        <v>1.3677272727272727</v>
      </c>
    </row>
    <row r="20" spans="1:17" x14ac:dyDescent="0.3">
      <c r="A20" s="12" t="s">
        <v>11</v>
      </c>
      <c r="B20">
        <f>_xlfn.XLOOKUP(Estadistica!A20,Tabla_6__2[Equipo],Tabla_6__2[JJ])</f>
        <v>8</v>
      </c>
      <c r="C20">
        <f>_xlfn.XLOOKUP(A20,Tabla_6__2[Equipo],Tabla_6__2[Goles Marcados])</f>
        <v>14</v>
      </c>
      <c r="D20">
        <f>_xlfn.XLOOKUP(A20,Tabla_9[Equipo],Tabla_9[Goles Sufridos])</f>
        <v>6</v>
      </c>
      <c r="E20">
        <f>_xlfn.XLOOKUP(A20,Tabla_7__2[Equipo],Tabla_7__2[JJ])</f>
        <v>10</v>
      </c>
      <c r="F20">
        <f>_xlfn.XLOOKUP(A20,Tabla_7__2[Equipo],Tabla_7__2[Goles Marcados])</f>
        <v>9</v>
      </c>
      <c r="G20">
        <f>_xlfn.XLOOKUP(A20,Tabla_10[Equipo],Tabla_10[Goles Sufridos])</f>
        <v>14</v>
      </c>
      <c r="I20" s="22">
        <f t="shared" si="0"/>
        <v>1.75</v>
      </c>
      <c r="J20" s="22">
        <f t="shared" si="1"/>
        <v>0.75</v>
      </c>
      <c r="K20" s="22">
        <f t="shared" si="2"/>
        <v>0.9</v>
      </c>
      <c r="L20" s="22">
        <f t="shared" si="3"/>
        <v>1.4</v>
      </c>
      <c r="N20" s="22">
        <f t="shared" si="4"/>
        <v>1.1263636363636365</v>
      </c>
      <c r="O20" s="22">
        <f t="shared" si="5"/>
        <v>0.67729591836734693</v>
      </c>
      <c r="P20" s="20">
        <f t="shared" si="6"/>
        <v>0.81275510204081636</v>
      </c>
      <c r="Q20" s="22">
        <f t="shared" si="7"/>
        <v>0.90109090909090905</v>
      </c>
    </row>
    <row r="21" spans="1:17" x14ac:dyDescent="0.3">
      <c r="A21" s="12" t="s">
        <v>15</v>
      </c>
      <c r="B21">
        <f>_xlfn.XLOOKUP(Estadistica!A21,Tabla_6__2[Equipo],Tabla_6__2[JJ])</f>
        <v>10</v>
      </c>
      <c r="C21">
        <f>_xlfn.XLOOKUP(A21,Tabla_6__2[Equipo],Tabla_6__2[Goles Marcados])</f>
        <v>12</v>
      </c>
      <c r="D21">
        <f>_xlfn.XLOOKUP(A21,Tabla_9[Equipo],Tabla_9[Goles Sufridos])</f>
        <v>13</v>
      </c>
      <c r="E21">
        <f>_xlfn.XLOOKUP(A21,Tabla_7__2[Equipo],Tabla_7__2[JJ])</f>
        <v>8</v>
      </c>
      <c r="F21">
        <f>_xlfn.XLOOKUP(A21,Tabla_7__2[Equipo],Tabla_7__2[Goles Marcados])</f>
        <v>10</v>
      </c>
      <c r="G21">
        <f>_xlfn.XLOOKUP(A21,Tabla_10[Equipo],Tabla_10[Goles Sufridos])</f>
        <v>16</v>
      </c>
      <c r="I21" s="22">
        <f t="shared" si="0"/>
        <v>1.2</v>
      </c>
      <c r="J21" s="22">
        <f t="shared" si="1"/>
        <v>1.3</v>
      </c>
      <c r="K21" s="22">
        <f t="shared" si="2"/>
        <v>1.25</v>
      </c>
      <c r="L21" s="22">
        <f t="shared" si="3"/>
        <v>2</v>
      </c>
      <c r="N21" s="22">
        <f t="shared" si="4"/>
        <v>0.77236363636363636</v>
      </c>
      <c r="O21" s="22">
        <f t="shared" si="5"/>
        <v>1.1739795918367346</v>
      </c>
      <c r="P21" s="20">
        <f t="shared" si="6"/>
        <v>1.1288265306122449</v>
      </c>
      <c r="Q21" s="22">
        <f t="shared" si="7"/>
        <v>1.2872727272727273</v>
      </c>
    </row>
    <row r="22" spans="1:17" x14ac:dyDescent="0.3">
      <c r="A22" s="13" t="s">
        <v>10</v>
      </c>
      <c r="B22">
        <f>_xlfn.XLOOKUP(Estadistica!A22,Tabla_6__2[Equipo],Tabla_6__2[JJ])</f>
        <v>8</v>
      </c>
      <c r="C22">
        <f>_xlfn.XLOOKUP(A22,Tabla_6__2[Equipo],Tabla_6__2[Goles Marcados])</f>
        <v>14</v>
      </c>
      <c r="D22">
        <f>_xlfn.XLOOKUP(A22,Tabla_9[Equipo],Tabla_9[Goles Sufridos])</f>
        <v>3</v>
      </c>
      <c r="E22">
        <f>_xlfn.XLOOKUP(A22,Tabla_7__2[Equipo],Tabla_7__2[JJ])</f>
        <v>9</v>
      </c>
      <c r="F22">
        <f>_xlfn.XLOOKUP(A22,Tabla_7__2[Equipo],Tabla_7__2[Goles Marcados])</f>
        <v>7</v>
      </c>
      <c r="G22">
        <f>_xlfn.XLOOKUP(A22,Tabla_10[Equipo],Tabla_10[Goles Sufridos])</f>
        <v>22</v>
      </c>
      <c r="I22" s="22">
        <f t="shared" si="0"/>
        <v>1.75</v>
      </c>
      <c r="J22" s="22">
        <f t="shared" si="1"/>
        <v>0.375</v>
      </c>
      <c r="K22" s="22">
        <f t="shared" si="2"/>
        <v>0.77777777777777779</v>
      </c>
      <c r="L22" s="22">
        <f t="shared" si="3"/>
        <v>2.4444444444444446</v>
      </c>
      <c r="N22" s="22">
        <f t="shared" si="4"/>
        <v>1.1263636363636365</v>
      </c>
      <c r="O22" s="22">
        <f t="shared" si="5"/>
        <v>0.33864795918367346</v>
      </c>
      <c r="P22" s="20">
        <f t="shared" si="6"/>
        <v>0.70238095238095244</v>
      </c>
      <c r="Q22" s="22">
        <f t="shared" si="7"/>
        <v>1.5733333333333335</v>
      </c>
    </row>
    <row r="23" spans="1:17" x14ac:dyDescent="0.3">
      <c r="B23">
        <f>SUM(B3:B22)</f>
        <v>177</v>
      </c>
      <c r="C23">
        <f t="shared" ref="C23:D23" si="8">SUM(C3:C22)</f>
        <v>275</v>
      </c>
      <c r="D23">
        <f t="shared" si="8"/>
        <v>196</v>
      </c>
      <c r="E23">
        <f t="shared" ref="E23" si="9">SUM(E3:E22)</f>
        <v>177</v>
      </c>
      <c r="F23">
        <f t="shared" ref="F23" si="10">SUM(F3:F22)</f>
        <v>196</v>
      </c>
      <c r="G23">
        <f t="shared" ref="G23" si="11">SUM(G3:G22)</f>
        <v>275</v>
      </c>
      <c r="I23" s="22">
        <f>C23/B23</f>
        <v>1.5536723163841808</v>
      </c>
      <c r="J23" s="22">
        <f>D23/B23</f>
        <v>1.1073446327683616</v>
      </c>
      <c r="K23" s="22">
        <f>F23/E23</f>
        <v>1.1073446327683616</v>
      </c>
      <c r="L23" s="22">
        <f>G23/E23</f>
        <v>1.5536723163841808</v>
      </c>
    </row>
  </sheetData>
  <sortState xmlns:xlrd2="http://schemas.microsoft.com/office/spreadsheetml/2017/richdata2" ref="A3:G22">
    <sortCondition ref="A3:A22"/>
  </sortState>
  <mergeCells count="4">
    <mergeCell ref="B1:D1"/>
    <mergeCell ref="E1:G1"/>
    <mergeCell ref="I1:L1"/>
    <mergeCell ref="N1:Q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489B-3028-4CB6-83D7-434A32467431}">
  <dimension ref="A1:E21"/>
  <sheetViews>
    <sheetView workbookViewId="0">
      <selection activeCell="I14" sqref="I14"/>
    </sheetView>
  </sheetViews>
  <sheetFormatPr baseColWidth="10" defaultRowHeight="14.4" x14ac:dyDescent="0.3"/>
  <cols>
    <col min="1" max="1" width="4.21875" bestFit="1" customWidth="1"/>
    <col min="2" max="2" width="12.109375" bestFit="1" customWidth="1"/>
    <col min="3" max="3" width="4.5546875" bestFit="1" customWidth="1"/>
    <col min="4" max="4" width="16.44140625" bestFit="1" customWidth="1"/>
    <col min="5" max="5" width="15.77734375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23</v>
      </c>
      <c r="E1" t="s">
        <v>25</v>
      </c>
    </row>
    <row r="2" spans="1:5" x14ac:dyDescent="0.3">
      <c r="A2">
        <v>1</v>
      </c>
      <c r="B2" s="1" t="s">
        <v>1</v>
      </c>
      <c r="C2">
        <v>9</v>
      </c>
      <c r="D2">
        <v>17</v>
      </c>
      <c r="E2">
        <v>189</v>
      </c>
    </row>
    <row r="3" spans="1:5" x14ac:dyDescent="0.3">
      <c r="A3">
        <v>2</v>
      </c>
      <c r="B3" s="1" t="s">
        <v>2</v>
      </c>
      <c r="C3">
        <v>10</v>
      </c>
      <c r="D3">
        <v>17</v>
      </c>
      <c r="E3">
        <v>17</v>
      </c>
    </row>
    <row r="4" spans="1:5" x14ac:dyDescent="0.3">
      <c r="A4">
        <v>3</v>
      </c>
      <c r="B4" s="1" t="s">
        <v>3</v>
      </c>
      <c r="C4">
        <v>8</v>
      </c>
      <c r="D4">
        <v>16</v>
      </c>
      <c r="E4">
        <v>2</v>
      </c>
    </row>
    <row r="5" spans="1:5" x14ac:dyDescent="0.3">
      <c r="A5">
        <v>4</v>
      </c>
      <c r="B5" s="1" t="s">
        <v>4</v>
      </c>
      <c r="C5">
        <v>10</v>
      </c>
      <c r="D5">
        <v>16</v>
      </c>
      <c r="E5">
        <v>16</v>
      </c>
    </row>
    <row r="6" spans="1:5" x14ac:dyDescent="0.3">
      <c r="A6">
        <v>5</v>
      </c>
      <c r="B6" s="1" t="s">
        <v>5</v>
      </c>
      <c r="C6">
        <v>9</v>
      </c>
      <c r="D6">
        <v>16</v>
      </c>
      <c r="E6">
        <v>178</v>
      </c>
    </row>
    <row r="7" spans="1:5" x14ac:dyDescent="0.3">
      <c r="A7">
        <v>6</v>
      </c>
      <c r="B7" s="1" t="s">
        <v>6</v>
      </c>
      <c r="C7">
        <v>9</v>
      </c>
      <c r="D7">
        <v>16</v>
      </c>
      <c r="E7">
        <v>178</v>
      </c>
    </row>
    <row r="8" spans="1:5" x14ac:dyDescent="0.3">
      <c r="A8">
        <v>7</v>
      </c>
      <c r="B8" s="1" t="s">
        <v>7</v>
      </c>
      <c r="C8">
        <v>10</v>
      </c>
      <c r="D8">
        <v>15</v>
      </c>
      <c r="E8">
        <v>15</v>
      </c>
    </row>
    <row r="9" spans="1:5" x14ac:dyDescent="0.3">
      <c r="A9">
        <v>8</v>
      </c>
      <c r="B9" s="1" t="s">
        <v>8</v>
      </c>
      <c r="C9">
        <v>7</v>
      </c>
      <c r="D9">
        <v>15</v>
      </c>
      <c r="E9">
        <v>214</v>
      </c>
    </row>
    <row r="10" spans="1:5" x14ac:dyDescent="0.3">
      <c r="A10">
        <v>9</v>
      </c>
      <c r="B10" s="1" t="s">
        <v>9</v>
      </c>
      <c r="C10">
        <v>9</v>
      </c>
      <c r="D10">
        <v>15</v>
      </c>
      <c r="E10">
        <v>167</v>
      </c>
    </row>
    <row r="11" spans="1:5" x14ac:dyDescent="0.3">
      <c r="A11">
        <v>10</v>
      </c>
      <c r="B11" s="1" t="s">
        <v>10</v>
      </c>
      <c r="C11">
        <v>8</v>
      </c>
      <c r="D11">
        <v>14</v>
      </c>
      <c r="E11">
        <v>175</v>
      </c>
    </row>
    <row r="12" spans="1:5" x14ac:dyDescent="0.3">
      <c r="A12">
        <v>11</v>
      </c>
      <c r="B12" s="1" t="s">
        <v>11</v>
      </c>
      <c r="C12">
        <v>8</v>
      </c>
      <c r="D12">
        <v>14</v>
      </c>
      <c r="E12">
        <v>175</v>
      </c>
    </row>
    <row r="13" spans="1:5" x14ac:dyDescent="0.3">
      <c r="A13">
        <v>12</v>
      </c>
      <c r="B13" s="1" t="s">
        <v>12</v>
      </c>
      <c r="C13">
        <v>9</v>
      </c>
      <c r="D13">
        <v>14</v>
      </c>
      <c r="E13">
        <v>156</v>
      </c>
    </row>
    <row r="14" spans="1:5" x14ac:dyDescent="0.3">
      <c r="A14">
        <v>13</v>
      </c>
      <c r="B14" s="1" t="s">
        <v>13</v>
      </c>
      <c r="C14">
        <v>8</v>
      </c>
      <c r="D14">
        <v>13</v>
      </c>
      <c r="E14">
        <v>163</v>
      </c>
    </row>
    <row r="15" spans="1:5" x14ac:dyDescent="0.3">
      <c r="A15">
        <v>14</v>
      </c>
      <c r="B15" s="1" t="s">
        <v>14</v>
      </c>
      <c r="C15">
        <v>9</v>
      </c>
      <c r="D15">
        <v>13</v>
      </c>
      <c r="E15">
        <v>144</v>
      </c>
    </row>
    <row r="16" spans="1:5" x14ac:dyDescent="0.3">
      <c r="A16">
        <v>15</v>
      </c>
      <c r="B16" s="1" t="s">
        <v>15</v>
      </c>
      <c r="C16">
        <v>10</v>
      </c>
      <c r="D16">
        <v>12</v>
      </c>
      <c r="E16">
        <v>12</v>
      </c>
    </row>
    <row r="17" spans="1:5" x14ac:dyDescent="0.3">
      <c r="A17">
        <v>16</v>
      </c>
      <c r="B17" s="1" t="s">
        <v>16</v>
      </c>
      <c r="C17">
        <v>9</v>
      </c>
      <c r="D17">
        <v>11</v>
      </c>
      <c r="E17">
        <v>122</v>
      </c>
    </row>
    <row r="18" spans="1:5" x14ac:dyDescent="0.3">
      <c r="A18">
        <v>17</v>
      </c>
      <c r="B18" s="1" t="s">
        <v>17</v>
      </c>
      <c r="C18">
        <v>9</v>
      </c>
      <c r="D18">
        <v>11</v>
      </c>
      <c r="E18">
        <v>122</v>
      </c>
    </row>
    <row r="19" spans="1:5" x14ac:dyDescent="0.3">
      <c r="A19">
        <v>18</v>
      </c>
      <c r="B19" s="1" t="s">
        <v>18</v>
      </c>
      <c r="C19">
        <v>9</v>
      </c>
      <c r="D19">
        <v>11</v>
      </c>
      <c r="E19">
        <v>122</v>
      </c>
    </row>
    <row r="20" spans="1:5" x14ac:dyDescent="0.3">
      <c r="A20">
        <v>19</v>
      </c>
      <c r="B20" s="1" t="s">
        <v>19</v>
      </c>
      <c r="C20">
        <v>8</v>
      </c>
      <c r="D20">
        <v>10</v>
      </c>
      <c r="E20">
        <v>125</v>
      </c>
    </row>
    <row r="21" spans="1:5" x14ac:dyDescent="0.3">
      <c r="A21">
        <v>20</v>
      </c>
      <c r="B21" s="1" t="s">
        <v>20</v>
      </c>
      <c r="C21">
        <v>9</v>
      </c>
      <c r="D21">
        <v>9</v>
      </c>
      <c r="E2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50D8-24B2-4983-82CE-67E93543279D}">
  <dimension ref="A1:E21"/>
  <sheetViews>
    <sheetView workbookViewId="0">
      <selection activeCell="I17" sqref="I17"/>
    </sheetView>
  </sheetViews>
  <sheetFormatPr baseColWidth="10" defaultRowHeight="14.4" x14ac:dyDescent="0.3"/>
  <cols>
    <col min="1" max="1" width="4.21875" bestFit="1" customWidth="1"/>
    <col min="2" max="2" width="12.109375" bestFit="1" customWidth="1"/>
    <col min="3" max="3" width="4.5546875" bestFit="1" customWidth="1"/>
    <col min="4" max="4" width="16.44140625" bestFit="1" customWidth="1"/>
    <col min="5" max="5" width="18.6640625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>
        <v>1</v>
      </c>
      <c r="B2" s="1" t="s">
        <v>8</v>
      </c>
      <c r="C2">
        <v>10</v>
      </c>
      <c r="D2">
        <v>16</v>
      </c>
      <c r="E2">
        <v>16</v>
      </c>
    </row>
    <row r="3" spans="1:5" x14ac:dyDescent="0.3">
      <c r="A3">
        <v>2</v>
      </c>
      <c r="B3" s="1" t="s">
        <v>3</v>
      </c>
      <c r="C3">
        <v>9</v>
      </c>
      <c r="D3">
        <v>15</v>
      </c>
      <c r="E3">
        <v>167</v>
      </c>
    </row>
    <row r="4" spans="1:5" x14ac:dyDescent="0.3">
      <c r="A4">
        <v>3</v>
      </c>
      <c r="B4" s="1" t="s">
        <v>5</v>
      </c>
      <c r="C4">
        <v>9</v>
      </c>
      <c r="D4">
        <v>14</v>
      </c>
      <c r="E4">
        <v>156</v>
      </c>
    </row>
    <row r="5" spans="1:5" x14ac:dyDescent="0.3">
      <c r="A5">
        <v>4</v>
      </c>
      <c r="B5" s="1" t="s">
        <v>19</v>
      </c>
      <c r="C5">
        <v>10</v>
      </c>
      <c r="D5">
        <v>14</v>
      </c>
      <c r="E5">
        <v>14</v>
      </c>
    </row>
    <row r="6" spans="1:5" x14ac:dyDescent="0.3">
      <c r="A6">
        <v>5</v>
      </c>
      <c r="B6" s="1" t="s">
        <v>7</v>
      </c>
      <c r="C6">
        <v>8</v>
      </c>
      <c r="D6">
        <v>11</v>
      </c>
      <c r="E6">
        <v>138</v>
      </c>
    </row>
    <row r="7" spans="1:5" x14ac:dyDescent="0.3">
      <c r="A7">
        <v>6</v>
      </c>
      <c r="B7" s="1" t="s">
        <v>1</v>
      </c>
      <c r="C7">
        <v>9</v>
      </c>
      <c r="D7">
        <v>11</v>
      </c>
      <c r="E7">
        <v>122</v>
      </c>
    </row>
    <row r="8" spans="1:5" x14ac:dyDescent="0.3">
      <c r="A8">
        <v>7</v>
      </c>
      <c r="B8" s="1" t="s">
        <v>12</v>
      </c>
      <c r="C8">
        <v>8</v>
      </c>
      <c r="D8">
        <v>11</v>
      </c>
      <c r="E8">
        <v>138</v>
      </c>
    </row>
    <row r="9" spans="1:5" x14ac:dyDescent="0.3">
      <c r="A9">
        <v>8</v>
      </c>
      <c r="B9" s="1" t="s">
        <v>15</v>
      </c>
      <c r="C9">
        <v>8</v>
      </c>
      <c r="D9">
        <v>10</v>
      </c>
      <c r="E9">
        <v>125</v>
      </c>
    </row>
    <row r="10" spans="1:5" x14ac:dyDescent="0.3">
      <c r="A10">
        <v>9</v>
      </c>
      <c r="B10" s="1" t="s">
        <v>16</v>
      </c>
      <c r="C10">
        <v>9</v>
      </c>
      <c r="D10">
        <v>10</v>
      </c>
      <c r="E10">
        <v>111</v>
      </c>
    </row>
    <row r="11" spans="1:5" x14ac:dyDescent="0.3">
      <c r="A11">
        <v>10</v>
      </c>
      <c r="B11" s="1" t="s">
        <v>17</v>
      </c>
      <c r="C11">
        <v>9</v>
      </c>
      <c r="D11">
        <v>10</v>
      </c>
      <c r="E11">
        <v>111</v>
      </c>
    </row>
    <row r="12" spans="1:5" x14ac:dyDescent="0.3">
      <c r="A12">
        <v>11</v>
      </c>
      <c r="B12" s="1" t="s">
        <v>11</v>
      </c>
      <c r="C12">
        <v>10</v>
      </c>
      <c r="D12">
        <v>9</v>
      </c>
      <c r="E12">
        <v>9</v>
      </c>
    </row>
    <row r="13" spans="1:5" x14ac:dyDescent="0.3">
      <c r="A13">
        <v>12</v>
      </c>
      <c r="B13" s="1" t="s">
        <v>13</v>
      </c>
      <c r="C13">
        <v>10</v>
      </c>
      <c r="D13">
        <v>9</v>
      </c>
      <c r="E13">
        <v>9</v>
      </c>
    </row>
    <row r="14" spans="1:5" x14ac:dyDescent="0.3">
      <c r="A14">
        <v>13</v>
      </c>
      <c r="B14" s="1" t="s">
        <v>20</v>
      </c>
      <c r="C14">
        <v>9</v>
      </c>
      <c r="D14">
        <v>9</v>
      </c>
      <c r="E14">
        <v>1</v>
      </c>
    </row>
    <row r="15" spans="1:5" x14ac:dyDescent="0.3">
      <c r="A15">
        <v>14</v>
      </c>
      <c r="B15" s="1" t="s">
        <v>6</v>
      </c>
      <c r="C15">
        <v>9</v>
      </c>
      <c r="D15">
        <v>9</v>
      </c>
      <c r="E15">
        <v>1</v>
      </c>
    </row>
    <row r="16" spans="1:5" x14ac:dyDescent="0.3">
      <c r="A16">
        <v>15</v>
      </c>
      <c r="B16" s="1" t="s">
        <v>4</v>
      </c>
      <c r="C16">
        <v>8</v>
      </c>
      <c r="D16">
        <v>8</v>
      </c>
      <c r="E16">
        <v>1</v>
      </c>
    </row>
    <row r="17" spans="1:5" x14ac:dyDescent="0.3">
      <c r="A17">
        <v>16</v>
      </c>
      <c r="B17" s="1" t="s">
        <v>10</v>
      </c>
      <c r="C17">
        <v>9</v>
      </c>
      <c r="D17">
        <v>7</v>
      </c>
      <c r="E17">
        <v>78</v>
      </c>
    </row>
    <row r="18" spans="1:5" x14ac:dyDescent="0.3">
      <c r="A18">
        <v>17</v>
      </c>
      <c r="B18" s="1" t="s">
        <v>2</v>
      </c>
      <c r="C18">
        <v>8</v>
      </c>
      <c r="D18">
        <v>7</v>
      </c>
      <c r="E18">
        <v>88</v>
      </c>
    </row>
    <row r="19" spans="1:5" x14ac:dyDescent="0.3">
      <c r="A19">
        <v>18</v>
      </c>
      <c r="B19" s="1" t="s">
        <v>18</v>
      </c>
      <c r="C19">
        <v>8</v>
      </c>
      <c r="D19">
        <v>7</v>
      </c>
      <c r="E19">
        <v>88</v>
      </c>
    </row>
    <row r="20" spans="1:5" x14ac:dyDescent="0.3">
      <c r="A20">
        <v>19</v>
      </c>
      <c r="B20" s="1" t="s">
        <v>9</v>
      </c>
      <c r="C20">
        <v>9</v>
      </c>
      <c r="D20">
        <v>5</v>
      </c>
      <c r="E20">
        <v>56</v>
      </c>
    </row>
    <row r="21" spans="1:5" x14ac:dyDescent="0.3">
      <c r="A21">
        <v>20</v>
      </c>
      <c r="B21" s="1" t="s">
        <v>14</v>
      </c>
      <c r="C21">
        <v>8</v>
      </c>
      <c r="D21">
        <v>4</v>
      </c>
      <c r="E21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8C5E-E81E-409B-901A-46AB6DBAC44E}">
  <dimension ref="A1:E21"/>
  <sheetViews>
    <sheetView workbookViewId="0">
      <selection activeCell="I24" sqref="I24"/>
    </sheetView>
  </sheetViews>
  <sheetFormatPr baseColWidth="10" defaultRowHeight="14.4" x14ac:dyDescent="0.3"/>
  <cols>
    <col min="1" max="1" width="4.21875" bestFit="1" customWidth="1"/>
    <col min="2" max="2" width="12.109375" bestFit="1" customWidth="1"/>
    <col min="3" max="3" width="4.5546875" bestFit="1" customWidth="1"/>
    <col min="4" max="4" width="15.21875" bestFit="1" customWidth="1"/>
    <col min="5" max="5" width="15.77734375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26</v>
      </c>
      <c r="E1" t="s">
        <v>25</v>
      </c>
    </row>
    <row r="2" spans="1:5" x14ac:dyDescent="0.3">
      <c r="A2">
        <v>1</v>
      </c>
      <c r="B2" s="1" t="s">
        <v>14</v>
      </c>
      <c r="C2">
        <v>9</v>
      </c>
      <c r="D2">
        <v>20</v>
      </c>
      <c r="E2">
        <v>222</v>
      </c>
    </row>
    <row r="3" spans="1:5" x14ac:dyDescent="0.3">
      <c r="A3">
        <v>2</v>
      </c>
      <c r="B3" s="1" t="s">
        <v>15</v>
      </c>
      <c r="C3">
        <v>10</v>
      </c>
      <c r="D3">
        <v>13</v>
      </c>
      <c r="E3">
        <v>13</v>
      </c>
    </row>
    <row r="4" spans="1:5" x14ac:dyDescent="0.3">
      <c r="A4">
        <v>3</v>
      </c>
      <c r="B4" s="1" t="s">
        <v>4</v>
      </c>
      <c r="C4">
        <v>10</v>
      </c>
      <c r="D4">
        <v>12</v>
      </c>
      <c r="E4">
        <v>12</v>
      </c>
    </row>
    <row r="5" spans="1:5" x14ac:dyDescent="0.3">
      <c r="A5">
        <v>4</v>
      </c>
      <c r="B5" s="1" t="s">
        <v>13</v>
      </c>
      <c r="C5">
        <v>8</v>
      </c>
      <c r="D5">
        <v>12</v>
      </c>
      <c r="E5">
        <v>15</v>
      </c>
    </row>
    <row r="6" spans="1:5" x14ac:dyDescent="0.3">
      <c r="A6">
        <v>5</v>
      </c>
      <c r="B6" s="1" t="s">
        <v>7</v>
      </c>
      <c r="C6">
        <v>10</v>
      </c>
      <c r="D6">
        <v>12</v>
      </c>
      <c r="E6">
        <v>12</v>
      </c>
    </row>
    <row r="7" spans="1:5" x14ac:dyDescent="0.3">
      <c r="A7">
        <v>6</v>
      </c>
      <c r="B7" s="1" t="s">
        <v>8</v>
      </c>
      <c r="C7">
        <v>7</v>
      </c>
      <c r="D7">
        <v>12</v>
      </c>
      <c r="E7">
        <v>171</v>
      </c>
    </row>
    <row r="8" spans="1:5" x14ac:dyDescent="0.3">
      <c r="A8">
        <v>7</v>
      </c>
      <c r="B8" s="1" t="s">
        <v>9</v>
      </c>
      <c r="C8">
        <v>9</v>
      </c>
      <c r="D8">
        <v>11</v>
      </c>
      <c r="E8">
        <v>122</v>
      </c>
    </row>
    <row r="9" spans="1:5" x14ac:dyDescent="0.3">
      <c r="A9">
        <v>8</v>
      </c>
      <c r="B9" s="1" t="s">
        <v>17</v>
      </c>
      <c r="C9">
        <v>9</v>
      </c>
      <c r="D9">
        <v>11</v>
      </c>
      <c r="E9">
        <v>122</v>
      </c>
    </row>
    <row r="10" spans="1:5" x14ac:dyDescent="0.3">
      <c r="A10">
        <v>9</v>
      </c>
      <c r="B10" s="1" t="s">
        <v>18</v>
      </c>
      <c r="C10">
        <v>9</v>
      </c>
      <c r="D10">
        <v>11</v>
      </c>
      <c r="E10">
        <v>122</v>
      </c>
    </row>
    <row r="11" spans="1:5" x14ac:dyDescent="0.3">
      <c r="A11">
        <v>10</v>
      </c>
      <c r="B11" s="1" t="s">
        <v>1</v>
      </c>
      <c r="C11">
        <v>9</v>
      </c>
      <c r="D11">
        <v>10</v>
      </c>
      <c r="E11">
        <v>111</v>
      </c>
    </row>
    <row r="12" spans="1:5" x14ac:dyDescent="0.3">
      <c r="A12">
        <v>11</v>
      </c>
      <c r="B12" s="1" t="s">
        <v>12</v>
      </c>
      <c r="C12">
        <v>9</v>
      </c>
      <c r="D12">
        <v>10</v>
      </c>
      <c r="E12">
        <v>111</v>
      </c>
    </row>
    <row r="13" spans="1:5" x14ac:dyDescent="0.3">
      <c r="A13">
        <v>12</v>
      </c>
      <c r="B13" s="1" t="s">
        <v>16</v>
      </c>
      <c r="C13">
        <v>9</v>
      </c>
      <c r="D13">
        <v>9</v>
      </c>
      <c r="E13">
        <v>1</v>
      </c>
    </row>
    <row r="14" spans="1:5" x14ac:dyDescent="0.3">
      <c r="A14">
        <v>13</v>
      </c>
      <c r="B14" s="1" t="s">
        <v>6</v>
      </c>
      <c r="C14">
        <v>9</v>
      </c>
      <c r="D14">
        <v>9</v>
      </c>
      <c r="E14">
        <v>1</v>
      </c>
    </row>
    <row r="15" spans="1:5" x14ac:dyDescent="0.3">
      <c r="A15">
        <v>14</v>
      </c>
      <c r="B15" s="1" t="s">
        <v>20</v>
      </c>
      <c r="C15">
        <v>9</v>
      </c>
      <c r="D15">
        <v>8</v>
      </c>
      <c r="E15">
        <v>89</v>
      </c>
    </row>
    <row r="16" spans="1:5" x14ac:dyDescent="0.3">
      <c r="A16">
        <v>15</v>
      </c>
      <c r="B16" s="1" t="s">
        <v>19</v>
      </c>
      <c r="C16">
        <v>8</v>
      </c>
      <c r="D16">
        <v>8</v>
      </c>
      <c r="E16">
        <v>1</v>
      </c>
    </row>
    <row r="17" spans="1:5" x14ac:dyDescent="0.3">
      <c r="A17">
        <v>16</v>
      </c>
      <c r="B17" s="1" t="s">
        <v>3</v>
      </c>
      <c r="C17">
        <v>8</v>
      </c>
      <c r="D17">
        <v>7</v>
      </c>
      <c r="E17">
        <v>88</v>
      </c>
    </row>
    <row r="18" spans="1:5" x14ac:dyDescent="0.3">
      <c r="A18">
        <v>17</v>
      </c>
      <c r="B18" s="1" t="s">
        <v>11</v>
      </c>
      <c r="C18">
        <v>8</v>
      </c>
      <c r="D18">
        <v>6</v>
      </c>
      <c r="E18">
        <v>75</v>
      </c>
    </row>
    <row r="19" spans="1:5" x14ac:dyDescent="0.3">
      <c r="A19">
        <v>18</v>
      </c>
      <c r="B19" s="1" t="s">
        <v>5</v>
      </c>
      <c r="C19">
        <v>9</v>
      </c>
      <c r="D19">
        <v>6</v>
      </c>
      <c r="E19">
        <v>67</v>
      </c>
    </row>
    <row r="20" spans="1:5" x14ac:dyDescent="0.3">
      <c r="A20">
        <v>19</v>
      </c>
      <c r="B20" s="1" t="s">
        <v>2</v>
      </c>
      <c r="C20">
        <v>10</v>
      </c>
      <c r="D20">
        <v>6</v>
      </c>
      <c r="E20">
        <v>6</v>
      </c>
    </row>
    <row r="21" spans="1:5" x14ac:dyDescent="0.3">
      <c r="A21">
        <v>20</v>
      </c>
      <c r="B21" s="1" t="s">
        <v>10</v>
      </c>
      <c r="C21">
        <v>8</v>
      </c>
      <c r="D21">
        <v>3</v>
      </c>
      <c r="E21">
        <v>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6664-1BFE-46C1-AF1C-B836A9F69844}">
  <dimension ref="A1:E21"/>
  <sheetViews>
    <sheetView workbookViewId="0">
      <selection activeCell="H21" sqref="H21"/>
    </sheetView>
  </sheetViews>
  <sheetFormatPr baseColWidth="10" defaultRowHeight="14.4" x14ac:dyDescent="0.3"/>
  <cols>
    <col min="1" max="1" width="4.21875" bestFit="1" customWidth="1"/>
    <col min="2" max="2" width="12.109375" bestFit="1" customWidth="1"/>
    <col min="3" max="3" width="4.5546875" bestFit="1" customWidth="1"/>
    <col min="4" max="4" width="15.21875" bestFit="1" customWidth="1"/>
    <col min="5" max="5" width="18.6640625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26</v>
      </c>
      <c r="E1" t="s">
        <v>24</v>
      </c>
    </row>
    <row r="2" spans="1:5" x14ac:dyDescent="0.3">
      <c r="A2">
        <v>1</v>
      </c>
      <c r="B2" s="1" t="s">
        <v>10</v>
      </c>
      <c r="C2">
        <v>9</v>
      </c>
      <c r="D2">
        <v>22</v>
      </c>
      <c r="E2">
        <v>244</v>
      </c>
    </row>
    <row r="3" spans="1:5" x14ac:dyDescent="0.3">
      <c r="A3">
        <v>2</v>
      </c>
      <c r="B3" s="1" t="s">
        <v>8</v>
      </c>
      <c r="C3">
        <v>10</v>
      </c>
      <c r="D3">
        <v>19</v>
      </c>
      <c r="E3">
        <v>19</v>
      </c>
    </row>
    <row r="4" spans="1:5" x14ac:dyDescent="0.3">
      <c r="A4">
        <v>3</v>
      </c>
      <c r="B4" s="1" t="s">
        <v>17</v>
      </c>
      <c r="C4">
        <v>9</v>
      </c>
      <c r="D4">
        <v>18</v>
      </c>
      <c r="E4">
        <v>2</v>
      </c>
    </row>
    <row r="5" spans="1:5" x14ac:dyDescent="0.3">
      <c r="A5">
        <v>4</v>
      </c>
      <c r="B5" s="1" t="s">
        <v>7</v>
      </c>
      <c r="C5">
        <v>8</v>
      </c>
      <c r="D5">
        <v>17</v>
      </c>
      <c r="E5">
        <v>213</v>
      </c>
    </row>
    <row r="6" spans="1:5" x14ac:dyDescent="0.3">
      <c r="A6">
        <v>5</v>
      </c>
      <c r="B6" s="1" t="s">
        <v>4</v>
      </c>
      <c r="C6">
        <v>8</v>
      </c>
      <c r="D6">
        <v>16</v>
      </c>
      <c r="E6">
        <v>2</v>
      </c>
    </row>
    <row r="7" spans="1:5" x14ac:dyDescent="0.3">
      <c r="A7">
        <v>6</v>
      </c>
      <c r="B7" s="1" t="s">
        <v>15</v>
      </c>
      <c r="C7">
        <v>8</v>
      </c>
      <c r="D7">
        <v>16</v>
      </c>
      <c r="E7">
        <v>2</v>
      </c>
    </row>
    <row r="8" spans="1:5" x14ac:dyDescent="0.3">
      <c r="A8">
        <v>7</v>
      </c>
      <c r="B8" s="1" t="s">
        <v>19</v>
      </c>
      <c r="C8">
        <v>10</v>
      </c>
      <c r="D8">
        <v>16</v>
      </c>
      <c r="E8">
        <v>16</v>
      </c>
    </row>
    <row r="9" spans="1:5" x14ac:dyDescent="0.3">
      <c r="A9">
        <v>8</v>
      </c>
      <c r="B9" s="1" t="s">
        <v>11</v>
      </c>
      <c r="C9">
        <v>10</v>
      </c>
      <c r="D9">
        <v>14</v>
      </c>
      <c r="E9">
        <v>14</v>
      </c>
    </row>
    <row r="10" spans="1:5" x14ac:dyDescent="0.3">
      <c r="A10">
        <v>9</v>
      </c>
      <c r="B10" s="1" t="s">
        <v>16</v>
      </c>
      <c r="C10">
        <v>9</v>
      </c>
      <c r="D10">
        <v>13</v>
      </c>
      <c r="E10">
        <v>144</v>
      </c>
    </row>
    <row r="11" spans="1:5" x14ac:dyDescent="0.3">
      <c r="A11">
        <v>10</v>
      </c>
      <c r="B11" s="1" t="s">
        <v>1</v>
      </c>
      <c r="C11">
        <v>9</v>
      </c>
      <c r="D11">
        <v>13</v>
      </c>
      <c r="E11">
        <v>144</v>
      </c>
    </row>
    <row r="12" spans="1:5" x14ac:dyDescent="0.3">
      <c r="A12">
        <v>11</v>
      </c>
      <c r="B12" s="1" t="s">
        <v>14</v>
      </c>
      <c r="C12">
        <v>8</v>
      </c>
      <c r="D12">
        <v>13</v>
      </c>
      <c r="E12">
        <v>163</v>
      </c>
    </row>
    <row r="13" spans="1:5" x14ac:dyDescent="0.3">
      <c r="A13">
        <v>12</v>
      </c>
      <c r="B13" s="1" t="s">
        <v>12</v>
      </c>
      <c r="C13">
        <v>8</v>
      </c>
      <c r="D13">
        <v>13</v>
      </c>
      <c r="E13">
        <v>163</v>
      </c>
    </row>
    <row r="14" spans="1:5" x14ac:dyDescent="0.3">
      <c r="A14">
        <v>13</v>
      </c>
      <c r="B14" s="1" t="s">
        <v>18</v>
      </c>
      <c r="C14">
        <v>8</v>
      </c>
      <c r="D14">
        <v>13</v>
      </c>
      <c r="E14">
        <v>163</v>
      </c>
    </row>
    <row r="15" spans="1:5" x14ac:dyDescent="0.3">
      <c r="A15">
        <v>14</v>
      </c>
      <c r="B15" s="1" t="s">
        <v>9</v>
      </c>
      <c r="C15">
        <v>9</v>
      </c>
      <c r="D15">
        <v>12</v>
      </c>
      <c r="E15">
        <v>133</v>
      </c>
    </row>
    <row r="16" spans="1:5" x14ac:dyDescent="0.3">
      <c r="A16">
        <v>15</v>
      </c>
      <c r="B16" s="1" t="s">
        <v>2</v>
      </c>
      <c r="C16">
        <v>8</v>
      </c>
      <c r="D16">
        <v>12</v>
      </c>
      <c r="E16">
        <v>15</v>
      </c>
    </row>
    <row r="17" spans="1:5" x14ac:dyDescent="0.3">
      <c r="A17">
        <v>16</v>
      </c>
      <c r="B17" s="1" t="s">
        <v>20</v>
      </c>
      <c r="C17">
        <v>9</v>
      </c>
      <c r="D17">
        <v>11</v>
      </c>
      <c r="E17">
        <v>122</v>
      </c>
    </row>
    <row r="18" spans="1:5" x14ac:dyDescent="0.3">
      <c r="A18">
        <v>17</v>
      </c>
      <c r="B18" s="1" t="s">
        <v>13</v>
      </c>
      <c r="C18">
        <v>10</v>
      </c>
      <c r="D18">
        <v>11</v>
      </c>
      <c r="E18">
        <v>11</v>
      </c>
    </row>
    <row r="19" spans="1:5" x14ac:dyDescent="0.3">
      <c r="A19">
        <v>18</v>
      </c>
      <c r="B19" s="1" t="s">
        <v>6</v>
      </c>
      <c r="C19">
        <v>9</v>
      </c>
      <c r="D19">
        <v>10</v>
      </c>
      <c r="E19">
        <v>111</v>
      </c>
    </row>
    <row r="20" spans="1:5" x14ac:dyDescent="0.3">
      <c r="A20">
        <v>19</v>
      </c>
      <c r="B20" s="1" t="s">
        <v>3</v>
      </c>
      <c r="C20">
        <v>9</v>
      </c>
      <c r="D20">
        <v>9</v>
      </c>
      <c r="E20">
        <v>1</v>
      </c>
    </row>
    <row r="21" spans="1:5" x14ac:dyDescent="0.3">
      <c r="A21">
        <v>20</v>
      </c>
      <c r="B21" s="1" t="s">
        <v>5</v>
      </c>
      <c r="C21">
        <v>9</v>
      </c>
      <c r="D21">
        <v>7</v>
      </c>
      <c r="E21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E05E01-CBD7-469E-A0C7-5704C3D12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Calculadora</vt:lpstr>
      <vt:lpstr>Lista</vt:lpstr>
      <vt:lpstr>Poisson</vt:lpstr>
      <vt:lpstr>Estadistica</vt:lpstr>
      <vt:lpstr>Goles marcados local</vt:lpstr>
      <vt:lpstr>Goles marcados visitante</vt:lpstr>
      <vt:lpstr>Goles recibidos local</vt:lpstr>
      <vt:lpstr>Goles recibidos visitante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niebles</dc:creator>
  <cp:lastModifiedBy>johan ricardo niebles</cp:lastModifiedBy>
  <dcterms:created xsi:type="dcterms:W3CDTF">2026-07-13T16:32:44Z</dcterms:created>
  <dcterms:modified xsi:type="dcterms:W3CDTF">2026-07-13T19:31:03Z</dcterms:modified>
</cp:coreProperties>
</file>